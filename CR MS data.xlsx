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e5edce9dcc729d/Documents/MS costa rica/"/>
    </mc:Choice>
  </mc:AlternateContent>
  <xr:revisionPtr revIDLastSave="5" documentId="8_{FDDB2EC6-7EF0-4132-8854-356898679240}" xr6:coauthVersionLast="47" xr6:coauthVersionMax="47" xr10:uidLastSave="{5AB3F923-E5F0-4D55-8A88-1F5ACF4C2D37}"/>
  <bookViews>
    <workbookView xWindow="-23940" yWindow="-270" windowWidth="14340" windowHeight="10245" xr2:uid="{00000000-000D-0000-FFFF-FFFF00000000}"/>
  </bookViews>
  <sheets>
    <sheet name="Exp 1" sheetId="1" r:id="rId1"/>
    <sheet name="Exp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1" i="2" l="1"/>
  <c r="T41" i="2"/>
  <c r="S41" i="2"/>
  <c r="R41" i="2"/>
  <c r="P41" i="2"/>
  <c r="O41" i="2"/>
  <c r="J41" i="2"/>
  <c r="W41" i="2" s="1"/>
  <c r="I41" i="2"/>
  <c r="V41" i="2" s="1"/>
  <c r="U40" i="2"/>
  <c r="T40" i="2"/>
  <c r="S40" i="2"/>
  <c r="R40" i="2"/>
  <c r="P40" i="2"/>
  <c r="O40" i="2"/>
  <c r="J40" i="2"/>
  <c r="W40" i="2" s="1"/>
  <c r="I40" i="2"/>
  <c r="V40" i="2" s="1"/>
  <c r="U39" i="2"/>
  <c r="T39" i="2"/>
  <c r="S39" i="2"/>
  <c r="R39" i="2"/>
  <c r="P39" i="2"/>
  <c r="O39" i="2"/>
  <c r="J39" i="2"/>
  <c r="W39" i="2" s="1"/>
  <c r="I39" i="2"/>
  <c r="V39" i="2" s="1"/>
  <c r="U38" i="2"/>
  <c r="T38" i="2"/>
  <c r="S38" i="2"/>
  <c r="R38" i="2"/>
  <c r="P38" i="2"/>
  <c r="O38" i="2"/>
  <c r="J38" i="2"/>
  <c r="W38" i="2" s="1"/>
  <c r="I38" i="2"/>
  <c r="V38" i="2" s="1"/>
  <c r="U37" i="2"/>
  <c r="T37" i="2"/>
  <c r="S37" i="2"/>
  <c r="R37" i="2"/>
  <c r="P37" i="2"/>
  <c r="O37" i="2"/>
  <c r="J37" i="2"/>
  <c r="W37" i="2" s="1"/>
  <c r="I37" i="2"/>
  <c r="V37" i="2" s="1"/>
  <c r="U36" i="2"/>
  <c r="T36" i="2"/>
  <c r="S36" i="2"/>
  <c r="R36" i="2"/>
  <c r="P36" i="2"/>
  <c r="O36" i="2"/>
  <c r="J36" i="2"/>
  <c r="W36" i="2" s="1"/>
  <c r="I36" i="2"/>
  <c r="V36" i="2" s="1"/>
  <c r="W35" i="2"/>
  <c r="U35" i="2"/>
  <c r="T35" i="2"/>
  <c r="S35" i="2"/>
  <c r="R35" i="2"/>
  <c r="P35" i="2"/>
  <c r="O35" i="2"/>
  <c r="Q35" i="2" s="1"/>
  <c r="J35" i="2"/>
  <c r="I35" i="2"/>
  <c r="V35" i="2" s="1"/>
  <c r="U34" i="2"/>
  <c r="T34" i="2"/>
  <c r="S34" i="2"/>
  <c r="R34" i="2"/>
  <c r="P34" i="2"/>
  <c r="O34" i="2"/>
  <c r="J34" i="2"/>
  <c r="W34" i="2" s="1"/>
  <c r="I34" i="2"/>
  <c r="V34" i="2" s="1"/>
  <c r="U33" i="2"/>
  <c r="T33" i="2"/>
  <c r="S33" i="2"/>
  <c r="R33" i="2"/>
  <c r="P33" i="2"/>
  <c r="O33" i="2"/>
  <c r="J33" i="2"/>
  <c r="W33" i="2" s="1"/>
  <c r="I33" i="2"/>
  <c r="V33" i="2" s="1"/>
  <c r="U32" i="2"/>
  <c r="T32" i="2"/>
  <c r="S32" i="2"/>
  <c r="R32" i="2"/>
  <c r="P32" i="2"/>
  <c r="O32" i="2"/>
  <c r="J32" i="2"/>
  <c r="W32" i="2" s="1"/>
  <c r="I32" i="2"/>
  <c r="V32" i="2" s="1"/>
  <c r="U31" i="2"/>
  <c r="T31" i="2"/>
  <c r="S31" i="2"/>
  <c r="R31" i="2"/>
  <c r="P31" i="2"/>
  <c r="O31" i="2"/>
  <c r="J31" i="2"/>
  <c r="W31" i="2" s="1"/>
  <c r="I31" i="2"/>
  <c r="V31" i="2" s="1"/>
  <c r="U30" i="2"/>
  <c r="T30" i="2"/>
  <c r="S30" i="2"/>
  <c r="R30" i="2"/>
  <c r="P30" i="2"/>
  <c r="O30" i="2"/>
  <c r="J30" i="2"/>
  <c r="W30" i="2" s="1"/>
  <c r="I30" i="2"/>
  <c r="V30" i="2" s="1"/>
  <c r="U29" i="2"/>
  <c r="T29" i="2"/>
  <c r="S29" i="2"/>
  <c r="R29" i="2"/>
  <c r="P29" i="2"/>
  <c r="O29" i="2"/>
  <c r="J29" i="2"/>
  <c r="W29" i="2" s="1"/>
  <c r="I29" i="2"/>
  <c r="V29" i="2" s="1"/>
  <c r="U28" i="2"/>
  <c r="T28" i="2"/>
  <c r="S28" i="2"/>
  <c r="R28" i="2"/>
  <c r="P28" i="2"/>
  <c r="O28" i="2"/>
  <c r="J28" i="2"/>
  <c r="W28" i="2" s="1"/>
  <c r="I28" i="2"/>
  <c r="V28" i="2" s="1"/>
  <c r="U27" i="2"/>
  <c r="T27" i="2"/>
  <c r="S27" i="2"/>
  <c r="R27" i="2"/>
  <c r="P27" i="2"/>
  <c r="O27" i="2"/>
  <c r="J27" i="2"/>
  <c r="W27" i="2" s="1"/>
  <c r="I27" i="2"/>
  <c r="V27" i="2" s="1"/>
  <c r="U26" i="2"/>
  <c r="T26" i="2"/>
  <c r="S26" i="2"/>
  <c r="R26" i="2"/>
  <c r="P26" i="2"/>
  <c r="O26" i="2"/>
  <c r="J26" i="2"/>
  <c r="W26" i="2" s="1"/>
  <c r="I26" i="2"/>
  <c r="V26" i="2" s="1"/>
  <c r="U25" i="2"/>
  <c r="T25" i="2"/>
  <c r="S25" i="2"/>
  <c r="R25" i="2"/>
  <c r="P25" i="2"/>
  <c r="O25" i="2"/>
  <c r="J25" i="2"/>
  <c r="W25" i="2" s="1"/>
  <c r="I25" i="2"/>
  <c r="V25" i="2" s="1"/>
  <c r="U24" i="2"/>
  <c r="T24" i="2"/>
  <c r="S24" i="2"/>
  <c r="R24" i="2"/>
  <c r="P24" i="2"/>
  <c r="O24" i="2"/>
  <c r="J24" i="2"/>
  <c r="W24" i="2" s="1"/>
  <c r="I24" i="2"/>
  <c r="V24" i="2" s="1"/>
  <c r="U23" i="2"/>
  <c r="T23" i="2"/>
  <c r="S23" i="2"/>
  <c r="R23" i="2"/>
  <c r="P23" i="2"/>
  <c r="O23" i="2"/>
  <c r="J23" i="2"/>
  <c r="W23" i="2" s="1"/>
  <c r="I23" i="2"/>
  <c r="V23" i="2" s="1"/>
  <c r="U22" i="2"/>
  <c r="T22" i="2"/>
  <c r="S22" i="2"/>
  <c r="R22" i="2"/>
  <c r="P22" i="2"/>
  <c r="O22" i="2"/>
  <c r="J22" i="2"/>
  <c r="W22" i="2" s="1"/>
  <c r="I22" i="2"/>
  <c r="V22" i="2" s="1"/>
  <c r="U21" i="2"/>
  <c r="T21" i="2"/>
  <c r="S21" i="2"/>
  <c r="R21" i="2"/>
  <c r="Q21" i="2"/>
  <c r="P21" i="2"/>
  <c r="O21" i="2"/>
  <c r="J21" i="2"/>
  <c r="W21" i="2" s="1"/>
  <c r="I21" i="2"/>
  <c r="V21" i="2" s="1"/>
  <c r="W20" i="2"/>
  <c r="U20" i="2"/>
  <c r="T20" i="2"/>
  <c r="S20" i="2"/>
  <c r="R20" i="2"/>
  <c r="P20" i="2"/>
  <c r="O20" i="2"/>
  <c r="Q20" i="2" s="1"/>
  <c r="J20" i="2"/>
  <c r="I20" i="2"/>
  <c r="V20" i="2" s="1"/>
  <c r="W19" i="2"/>
  <c r="U19" i="2"/>
  <c r="T19" i="2"/>
  <c r="S19" i="2"/>
  <c r="R19" i="2"/>
  <c r="P19" i="2"/>
  <c r="O19" i="2"/>
  <c r="Q19" i="2" s="1"/>
  <c r="J19" i="2"/>
  <c r="I19" i="2"/>
  <c r="V19" i="2" s="1"/>
  <c r="U18" i="2"/>
  <c r="T18" i="2"/>
  <c r="S18" i="2"/>
  <c r="R18" i="2"/>
  <c r="Q18" i="2"/>
  <c r="P18" i="2"/>
  <c r="O18" i="2"/>
  <c r="J18" i="2"/>
  <c r="W18" i="2" s="1"/>
  <c r="I18" i="2"/>
  <c r="V18" i="2" s="1"/>
  <c r="U17" i="2"/>
  <c r="T17" i="2"/>
  <c r="S17" i="2"/>
  <c r="R17" i="2"/>
  <c r="P17" i="2"/>
  <c r="O17" i="2"/>
  <c r="Q17" i="2" s="1"/>
  <c r="J17" i="2"/>
  <c r="W17" i="2" s="1"/>
  <c r="I17" i="2"/>
  <c r="V17" i="2" s="1"/>
  <c r="W16" i="2"/>
  <c r="U16" i="2"/>
  <c r="T16" i="2"/>
  <c r="S16" i="2"/>
  <c r="R16" i="2"/>
  <c r="Q16" i="2"/>
  <c r="P16" i="2"/>
  <c r="O16" i="2"/>
  <c r="J16" i="2"/>
  <c r="I16" i="2"/>
  <c r="V16" i="2" s="1"/>
  <c r="V15" i="2"/>
  <c r="U15" i="2"/>
  <c r="T15" i="2"/>
  <c r="S15" i="2"/>
  <c r="R15" i="2"/>
  <c r="P15" i="2"/>
  <c r="O15" i="2"/>
  <c r="Q15" i="2" s="1"/>
  <c r="J15" i="2"/>
  <c r="W15" i="2" s="1"/>
  <c r="I15" i="2"/>
  <c r="V14" i="2"/>
  <c r="U14" i="2"/>
  <c r="T14" i="2"/>
  <c r="S14" i="2"/>
  <c r="R14" i="2"/>
  <c r="Q14" i="2"/>
  <c r="P14" i="2"/>
  <c r="O14" i="2"/>
  <c r="J14" i="2"/>
  <c r="W14" i="2" s="1"/>
  <c r="I14" i="2"/>
  <c r="U13" i="2"/>
  <c r="T13" i="2"/>
  <c r="S13" i="2"/>
  <c r="R13" i="2"/>
  <c r="Q13" i="2"/>
  <c r="P13" i="2"/>
  <c r="O13" i="2"/>
  <c r="J13" i="2"/>
  <c r="W13" i="2" s="1"/>
  <c r="I13" i="2"/>
  <c r="V13" i="2" s="1"/>
  <c r="U12" i="2"/>
  <c r="T12" i="2"/>
  <c r="S12" i="2"/>
  <c r="R12" i="2"/>
  <c r="P12" i="2"/>
  <c r="O12" i="2"/>
  <c r="Q12" i="2" s="1"/>
  <c r="J12" i="2"/>
  <c r="W12" i="2" s="1"/>
  <c r="I12" i="2"/>
  <c r="V12" i="2" s="1"/>
  <c r="W11" i="2"/>
  <c r="U11" i="2"/>
  <c r="T11" i="2"/>
  <c r="S11" i="2"/>
  <c r="R11" i="2"/>
  <c r="P11" i="2"/>
  <c r="O11" i="2"/>
  <c r="Q11" i="2" s="1"/>
  <c r="J11" i="2"/>
  <c r="I11" i="2"/>
  <c r="V11" i="2" s="1"/>
  <c r="U10" i="2"/>
  <c r="T10" i="2"/>
  <c r="S10" i="2"/>
  <c r="R10" i="2"/>
  <c r="Q10" i="2"/>
  <c r="P10" i="2"/>
  <c r="O10" i="2"/>
  <c r="J10" i="2"/>
  <c r="W10" i="2" s="1"/>
  <c r="I10" i="2"/>
  <c r="V10" i="2" s="1"/>
  <c r="W9" i="2"/>
  <c r="U9" i="2"/>
  <c r="T9" i="2"/>
  <c r="S9" i="2"/>
  <c r="R9" i="2"/>
  <c r="P9" i="2"/>
  <c r="O9" i="2"/>
  <c r="Q9" i="2" s="1"/>
  <c r="J9" i="2"/>
  <c r="I9" i="2"/>
  <c r="V9" i="2" s="1"/>
  <c r="W8" i="2"/>
  <c r="U8" i="2"/>
  <c r="T8" i="2"/>
  <c r="S8" i="2"/>
  <c r="R8" i="2"/>
  <c r="Q8" i="2"/>
  <c r="P8" i="2"/>
  <c r="O8" i="2"/>
  <c r="J8" i="2"/>
  <c r="I8" i="2"/>
  <c r="V8" i="2" s="1"/>
  <c r="U7" i="2"/>
  <c r="T7" i="2"/>
  <c r="S7" i="2"/>
  <c r="R7" i="2"/>
  <c r="Q7" i="2"/>
  <c r="P7" i="2"/>
  <c r="O7" i="2"/>
  <c r="J7" i="2"/>
  <c r="W7" i="2" s="1"/>
  <c r="I7" i="2"/>
  <c r="V7" i="2" s="1"/>
  <c r="V6" i="2"/>
  <c r="U6" i="2"/>
  <c r="T6" i="2"/>
  <c r="S6" i="2"/>
  <c r="R6" i="2"/>
  <c r="P6" i="2"/>
  <c r="O6" i="2"/>
  <c r="Q6" i="2" s="1"/>
  <c r="J6" i="2"/>
  <c r="W6" i="2" s="1"/>
  <c r="I6" i="2"/>
  <c r="U5" i="2"/>
  <c r="T5" i="2"/>
  <c r="S5" i="2"/>
  <c r="R5" i="2"/>
  <c r="Q5" i="2"/>
  <c r="P5" i="2"/>
  <c r="O5" i="2"/>
  <c r="J5" i="2"/>
  <c r="W5" i="2" s="1"/>
  <c r="I5" i="2"/>
  <c r="V5" i="2" s="1"/>
  <c r="U4" i="2"/>
  <c r="T4" i="2"/>
  <c r="S4" i="2"/>
  <c r="R4" i="2"/>
  <c r="P4" i="2"/>
  <c r="O4" i="2"/>
  <c r="Q4" i="2" s="1"/>
  <c r="J4" i="2"/>
  <c r="W4" i="2" s="1"/>
  <c r="I4" i="2"/>
  <c r="V4" i="2" s="1"/>
  <c r="W3" i="2"/>
  <c r="V3" i="2"/>
  <c r="U3" i="2"/>
  <c r="T3" i="2"/>
  <c r="S3" i="2"/>
  <c r="R3" i="2"/>
  <c r="P3" i="2"/>
  <c r="O3" i="2"/>
  <c r="Q3" i="2" s="1"/>
  <c r="J3" i="2"/>
  <c r="I3" i="2"/>
  <c r="U2" i="2"/>
  <c r="T2" i="2"/>
  <c r="S2" i="2"/>
  <c r="R2" i="2"/>
  <c r="Q2" i="2"/>
  <c r="P2" i="2"/>
  <c r="O2" i="2"/>
  <c r="J2" i="2"/>
  <c r="W2" i="2" s="1"/>
  <c r="I2" i="2"/>
  <c r="V2" i="2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" i="1"/>
  <c r="Q2" i="1"/>
  <c r="R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</calcChain>
</file>

<file path=xl/sharedStrings.xml><?xml version="1.0" encoding="utf-8"?>
<sst xmlns="http://schemas.openxmlformats.org/spreadsheetml/2006/main" count="181" uniqueCount="80">
  <si>
    <t>plant</t>
  </si>
  <si>
    <t>nodules</t>
  </si>
  <si>
    <t>ants</t>
  </si>
  <si>
    <t>parasitoids</t>
  </si>
  <si>
    <t>shoot DW</t>
  </si>
  <si>
    <t>root DW</t>
  </si>
  <si>
    <t>total.leaves</t>
  </si>
  <si>
    <t>number.damaged</t>
  </si>
  <si>
    <t>percentage.damaged</t>
  </si>
  <si>
    <t>R-</t>
  </si>
  <si>
    <t>R+</t>
  </si>
  <si>
    <t>rhizo</t>
  </si>
  <si>
    <t>am-parasitoids</t>
  </si>
  <si>
    <t>am-ants</t>
  </si>
  <si>
    <t>pm-ants</t>
  </si>
  <si>
    <t>pm-parasitoids</t>
  </si>
  <si>
    <t>am-ant-day</t>
  </si>
  <si>
    <t>pm-ant-day</t>
  </si>
  <si>
    <t>am-parasitoid-day</t>
  </si>
  <si>
    <t>pm-parasitoid-day</t>
  </si>
  <si>
    <t>para.day</t>
  </si>
  <si>
    <t>HCNp</t>
  </si>
  <si>
    <t>shootDW</t>
  </si>
  <si>
    <t>rootDW</t>
  </si>
  <si>
    <t>protein</t>
  </si>
  <si>
    <t>ID</t>
  </si>
  <si>
    <t>beetles</t>
  </si>
  <si>
    <t>am-beetles</t>
  </si>
  <si>
    <t>pm-beetles</t>
  </si>
  <si>
    <t>hcn per prot</t>
  </si>
  <si>
    <t>root:shoot ratio</t>
  </si>
  <si>
    <t>hcn.prot.nod</t>
  </si>
  <si>
    <t>am-ants-day</t>
  </si>
  <si>
    <t>pm-ants-day</t>
  </si>
  <si>
    <t>am-beetles-day</t>
  </si>
  <si>
    <t>pm-beetles-day</t>
  </si>
  <si>
    <t>ant.day</t>
  </si>
  <si>
    <t>beetle.day</t>
  </si>
  <si>
    <t>not</t>
  </si>
  <si>
    <t>1R+</t>
  </si>
  <si>
    <t>nothing</t>
  </si>
  <si>
    <t>2R+</t>
  </si>
  <si>
    <t>3R+</t>
  </si>
  <si>
    <t>4R+</t>
  </si>
  <si>
    <t>5R+</t>
  </si>
  <si>
    <t>6R+</t>
  </si>
  <si>
    <t>7R+</t>
  </si>
  <si>
    <t>8R+</t>
  </si>
  <si>
    <t>9R+</t>
  </si>
  <si>
    <t>10R+</t>
  </si>
  <si>
    <t>11R+</t>
  </si>
  <si>
    <t>12R+</t>
  </si>
  <si>
    <t>13R+</t>
  </si>
  <si>
    <t>14R+</t>
  </si>
  <si>
    <t>15R+</t>
  </si>
  <si>
    <t>16R+</t>
  </si>
  <si>
    <t>17R+</t>
  </si>
  <si>
    <t>18R+</t>
  </si>
  <si>
    <t>19R+</t>
  </si>
  <si>
    <t>20R+</t>
  </si>
  <si>
    <t>1R-</t>
  </si>
  <si>
    <t>2R-</t>
  </si>
  <si>
    <t>3R-</t>
  </si>
  <si>
    <t>4R-</t>
  </si>
  <si>
    <t>5R-</t>
  </si>
  <si>
    <t>6R-</t>
  </si>
  <si>
    <t>7R-</t>
  </si>
  <si>
    <t>8R-</t>
  </si>
  <si>
    <t>9R-</t>
  </si>
  <si>
    <t>10R-</t>
  </si>
  <si>
    <t>11R-</t>
  </si>
  <si>
    <t>12R-</t>
  </si>
  <si>
    <t>13R-</t>
  </si>
  <si>
    <t>14R-</t>
  </si>
  <si>
    <t>15R-</t>
  </si>
  <si>
    <t>16R-</t>
  </si>
  <si>
    <t>17R-</t>
  </si>
  <si>
    <t>18R-</t>
  </si>
  <si>
    <t>19R-</t>
  </si>
  <si>
    <t>20R-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</si>
</sst>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topLeftCell="A11" zoomScale="104" workbookViewId="0">
      <selection activeCell="C24" sqref="C24"/>
    </sheetView>
  </sheetViews>
  <sheetFormatPr defaultRowHeight="14.5" x14ac:dyDescent="0.35"/>
  <sheetData>
    <row r="1" spans="1:19" x14ac:dyDescent="0.35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13</v>
      </c>
      <c r="L1" t="s">
        <v>14</v>
      </c>
      <c r="M1" t="s">
        <v>12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</row>
    <row r="2" spans="1:19" x14ac:dyDescent="0.35">
      <c r="A2">
        <v>1</v>
      </c>
      <c r="B2" t="s">
        <v>9</v>
      </c>
      <c r="C2">
        <v>0</v>
      </c>
      <c r="D2">
        <v>12</v>
      </c>
      <c r="E2">
        <v>4</v>
      </c>
      <c r="F2">
        <v>0.128</v>
      </c>
      <c r="G2">
        <v>3.9E-2</v>
      </c>
      <c r="H2">
        <v>3</v>
      </c>
      <c r="I2">
        <v>0</v>
      </c>
      <c r="J2">
        <v>0</v>
      </c>
      <c r="K2">
        <v>2</v>
      </c>
      <c r="L2">
        <v>5</v>
      </c>
      <c r="M2">
        <v>1</v>
      </c>
      <c r="N2">
        <v>1</v>
      </c>
      <c r="O2">
        <f>K2/4</f>
        <v>0.5</v>
      </c>
      <c r="P2">
        <f t="shared" ref="P2:R17" si="0">L2/4</f>
        <v>1.25</v>
      </c>
      <c r="Q2">
        <f t="shared" si="0"/>
        <v>0.25</v>
      </c>
      <c r="R2">
        <f t="shared" si="0"/>
        <v>0.25</v>
      </c>
      <c r="S2">
        <f>E2/4</f>
        <v>1</v>
      </c>
    </row>
    <row r="3" spans="1:19" x14ac:dyDescent="0.35">
      <c r="A3">
        <v>2</v>
      </c>
      <c r="B3" t="s">
        <v>9</v>
      </c>
      <c r="C3">
        <v>2</v>
      </c>
      <c r="D3">
        <v>18</v>
      </c>
      <c r="E3">
        <v>10</v>
      </c>
      <c r="F3">
        <v>0.16500000000000001</v>
      </c>
      <c r="G3">
        <v>5.8999999999999997E-2</v>
      </c>
      <c r="H3">
        <v>5</v>
      </c>
      <c r="I3">
        <v>2</v>
      </c>
      <c r="J3">
        <v>0.4</v>
      </c>
      <c r="K3">
        <v>5</v>
      </c>
      <c r="L3">
        <v>3</v>
      </c>
      <c r="M3">
        <v>3</v>
      </c>
      <c r="N3">
        <v>4</v>
      </c>
      <c r="O3">
        <f t="shared" ref="O3:R19" si="1">K3/4</f>
        <v>1.25</v>
      </c>
      <c r="P3">
        <f t="shared" si="0"/>
        <v>0.75</v>
      </c>
      <c r="Q3">
        <f t="shared" si="0"/>
        <v>0.75</v>
      </c>
      <c r="R3">
        <f t="shared" si="0"/>
        <v>1</v>
      </c>
      <c r="S3">
        <f t="shared" ref="S3:S19" si="2">E3/4</f>
        <v>2.5</v>
      </c>
    </row>
    <row r="4" spans="1:19" x14ac:dyDescent="0.35">
      <c r="A4">
        <v>3</v>
      </c>
      <c r="B4" t="s">
        <v>9</v>
      </c>
      <c r="C4">
        <v>0</v>
      </c>
      <c r="D4">
        <v>10</v>
      </c>
      <c r="E4">
        <v>9</v>
      </c>
      <c r="F4">
        <v>6.7000000000000004E-2</v>
      </c>
      <c r="G4">
        <v>2.3E-2</v>
      </c>
      <c r="H4">
        <v>3</v>
      </c>
      <c r="I4">
        <v>2</v>
      </c>
      <c r="J4">
        <v>0.66666666699999999</v>
      </c>
      <c r="K4">
        <v>2</v>
      </c>
      <c r="L4">
        <v>1</v>
      </c>
      <c r="M4">
        <v>2</v>
      </c>
      <c r="N4">
        <v>6</v>
      </c>
      <c r="O4">
        <f t="shared" si="1"/>
        <v>0.5</v>
      </c>
      <c r="P4">
        <f t="shared" si="0"/>
        <v>0.25</v>
      </c>
      <c r="Q4">
        <f t="shared" si="0"/>
        <v>0.5</v>
      </c>
      <c r="R4">
        <f t="shared" si="0"/>
        <v>1.5</v>
      </c>
      <c r="S4">
        <f t="shared" si="2"/>
        <v>2.25</v>
      </c>
    </row>
    <row r="5" spans="1:19" x14ac:dyDescent="0.35">
      <c r="A5">
        <v>4</v>
      </c>
      <c r="B5" t="s">
        <v>9</v>
      </c>
      <c r="C5">
        <v>0</v>
      </c>
      <c r="D5">
        <v>13</v>
      </c>
      <c r="E5">
        <v>7</v>
      </c>
      <c r="F5">
        <v>0.11600000000000001</v>
      </c>
      <c r="G5">
        <v>0.03</v>
      </c>
      <c r="H5">
        <v>5</v>
      </c>
      <c r="I5">
        <v>4</v>
      </c>
      <c r="J5">
        <v>0.8</v>
      </c>
      <c r="K5">
        <v>3</v>
      </c>
      <c r="L5">
        <v>4</v>
      </c>
      <c r="M5">
        <v>2</v>
      </c>
      <c r="N5">
        <v>3</v>
      </c>
      <c r="O5">
        <f t="shared" si="1"/>
        <v>0.75</v>
      </c>
      <c r="P5">
        <f t="shared" si="0"/>
        <v>1</v>
      </c>
      <c r="Q5">
        <f t="shared" si="0"/>
        <v>0.5</v>
      </c>
      <c r="R5">
        <f t="shared" si="0"/>
        <v>0.75</v>
      </c>
      <c r="S5">
        <f t="shared" si="2"/>
        <v>1.75</v>
      </c>
    </row>
    <row r="6" spans="1:19" x14ac:dyDescent="0.35">
      <c r="A6">
        <v>9</v>
      </c>
      <c r="B6" t="s">
        <v>9</v>
      </c>
      <c r="C6">
        <v>0</v>
      </c>
      <c r="D6">
        <v>10</v>
      </c>
      <c r="E6">
        <v>3</v>
      </c>
      <c r="F6">
        <v>8.3000000000000004E-2</v>
      </c>
      <c r="G6">
        <v>3.6999999999999998E-2</v>
      </c>
      <c r="H6">
        <v>3</v>
      </c>
      <c r="I6">
        <v>1</v>
      </c>
      <c r="J6">
        <v>0.33333333300000001</v>
      </c>
      <c r="K6">
        <v>3</v>
      </c>
      <c r="L6">
        <v>4</v>
      </c>
      <c r="M6">
        <v>1</v>
      </c>
      <c r="N6">
        <v>1</v>
      </c>
      <c r="O6">
        <f t="shared" si="1"/>
        <v>0.75</v>
      </c>
      <c r="P6">
        <f t="shared" si="0"/>
        <v>1</v>
      </c>
      <c r="Q6">
        <f t="shared" si="0"/>
        <v>0.25</v>
      </c>
      <c r="R6">
        <f t="shared" si="0"/>
        <v>0.25</v>
      </c>
      <c r="S6">
        <f t="shared" si="2"/>
        <v>0.75</v>
      </c>
    </row>
    <row r="7" spans="1:19" x14ac:dyDescent="0.35">
      <c r="A7">
        <v>10</v>
      </c>
      <c r="B7" t="s">
        <v>9</v>
      </c>
      <c r="C7">
        <v>0</v>
      </c>
      <c r="D7">
        <v>3</v>
      </c>
      <c r="E7">
        <v>13</v>
      </c>
      <c r="F7">
        <v>0.10100000000000001</v>
      </c>
      <c r="G7">
        <v>0.03</v>
      </c>
      <c r="H7">
        <v>3</v>
      </c>
      <c r="I7">
        <v>0</v>
      </c>
      <c r="J7">
        <v>0</v>
      </c>
      <c r="K7">
        <v>0</v>
      </c>
      <c r="L7">
        <v>2</v>
      </c>
      <c r="M7">
        <v>3</v>
      </c>
      <c r="N7">
        <v>4</v>
      </c>
      <c r="O7">
        <f t="shared" si="1"/>
        <v>0</v>
      </c>
      <c r="P7">
        <f t="shared" si="0"/>
        <v>0.5</v>
      </c>
      <c r="Q7">
        <f t="shared" si="0"/>
        <v>0.75</v>
      </c>
      <c r="R7">
        <f t="shared" si="0"/>
        <v>1</v>
      </c>
      <c r="S7">
        <f t="shared" si="2"/>
        <v>3.25</v>
      </c>
    </row>
    <row r="8" spans="1:19" x14ac:dyDescent="0.35">
      <c r="A8">
        <v>11</v>
      </c>
      <c r="B8" t="s">
        <v>9</v>
      </c>
      <c r="C8">
        <v>0</v>
      </c>
      <c r="D8">
        <v>13</v>
      </c>
      <c r="E8">
        <v>11</v>
      </c>
      <c r="F8">
        <v>0.17299999999999999</v>
      </c>
      <c r="G8">
        <v>4.3999999999999997E-2</v>
      </c>
      <c r="H8">
        <v>4</v>
      </c>
      <c r="I8">
        <v>2</v>
      </c>
      <c r="J8">
        <v>0.5</v>
      </c>
      <c r="K8">
        <v>3</v>
      </c>
      <c r="L8">
        <v>5</v>
      </c>
      <c r="M8">
        <v>2</v>
      </c>
      <c r="N8">
        <v>8</v>
      </c>
      <c r="O8">
        <f t="shared" si="1"/>
        <v>0.75</v>
      </c>
      <c r="P8">
        <f t="shared" si="0"/>
        <v>1.25</v>
      </c>
      <c r="Q8">
        <f t="shared" si="0"/>
        <v>0.5</v>
      </c>
      <c r="R8">
        <f t="shared" si="0"/>
        <v>2</v>
      </c>
      <c r="S8">
        <f t="shared" si="2"/>
        <v>2.75</v>
      </c>
    </row>
    <row r="9" spans="1:19" x14ac:dyDescent="0.35">
      <c r="A9">
        <v>24</v>
      </c>
      <c r="B9" t="s">
        <v>9</v>
      </c>
      <c r="C9">
        <v>0</v>
      </c>
      <c r="D9">
        <v>12</v>
      </c>
      <c r="E9">
        <v>3</v>
      </c>
      <c r="F9">
        <v>0.11</v>
      </c>
      <c r="G9">
        <v>5.0999999999999997E-2</v>
      </c>
      <c r="H9">
        <v>5</v>
      </c>
      <c r="I9">
        <v>3</v>
      </c>
      <c r="J9">
        <v>0.6</v>
      </c>
      <c r="K9">
        <v>4</v>
      </c>
      <c r="L9">
        <v>4</v>
      </c>
      <c r="M9">
        <v>1</v>
      </c>
      <c r="N9">
        <v>1</v>
      </c>
      <c r="O9">
        <f t="shared" si="1"/>
        <v>1</v>
      </c>
      <c r="P9">
        <f t="shared" si="0"/>
        <v>1</v>
      </c>
      <c r="Q9">
        <f t="shared" si="0"/>
        <v>0.25</v>
      </c>
      <c r="R9">
        <f t="shared" si="0"/>
        <v>0.25</v>
      </c>
      <c r="S9">
        <f t="shared" si="2"/>
        <v>0.75</v>
      </c>
    </row>
    <row r="10" spans="1:19" x14ac:dyDescent="0.35">
      <c r="A10">
        <v>6</v>
      </c>
      <c r="B10" t="s">
        <v>10</v>
      </c>
      <c r="C10">
        <v>11</v>
      </c>
      <c r="D10">
        <v>12</v>
      </c>
      <c r="E10">
        <v>6</v>
      </c>
      <c r="F10">
        <v>9.9000000000000005E-2</v>
      </c>
      <c r="G10">
        <v>2.5999999999999999E-2</v>
      </c>
      <c r="H10">
        <v>3</v>
      </c>
      <c r="I10">
        <v>2</v>
      </c>
      <c r="J10">
        <v>0.66666666699999999</v>
      </c>
      <c r="K10">
        <v>0</v>
      </c>
      <c r="L10">
        <v>6</v>
      </c>
      <c r="M10">
        <v>1</v>
      </c>
      <c r="N10">
        <v>3</v>
      </c>
      <c r="O10">
        <f t="shared" si="1"/>
        <v>0</v>
      </c>
      <c r="P10">
        <f t="shared" si="0"/>
        <v>1.5</v>
      </c>
      <c r="Q10">
        <f t="shared" si="0"/>
        <v>0.25</v>
      </c>
      <c r="R10">
        <f t="shared" si="0"/>
        <v>0.75</v>
      </c>
      <c r="S10">
        <f t="shared" si="2"/>
        <v>1.5</v>
      </c>
    </row>
    <row r="11" spans="1:19" x14ac:dyDescent="0.35">
      <c r="A11">
        <v>7</v>
      </c>
      <c r="B11" t="s">
        <v>10</v>
      </c>
      <c r="C11">
        <v>10</v>
      </c>
      <c r="D11">
        <v>16</v>
      </c>
      <c r="E11">
        <v>4</v>
      </c>
      <c r="F11">
        <v>0.10100000000000001</v>
      </c>
      <c r="G11">
        <v>3.3000000000000002E-2</v>
      </c>
      <c r="H11">
        <v>4</v>
      </c>
      <c r="I11">
        <v>2</v>
      </c>
      <c r="J11">
        <v>0.5</v>
      </c>
      <c r="K11">
        <v>6</v>
      </c>
      <c r="L11">
        <v>7</v>
      </c>
      <c r="M11">
        <v>1</v>
      </c>
      <c r="N11">
        <v>2</v>
      </c>
      <c r="O11">
        <f t="shared" si="1"/>
        <v>1.5</v>
      </c>
      <c r="P11">
        <f t="shared" si="0"/>
        <v>1.75</v>
      </c>
      <c r="Q11">
        <f t="shared" si="0"/>
        <v>0.25</v>
      </c>
      <c r="R11">
        <f t="shared" si="0"/>
        <v>0.5</v>
      </c>
      <c r="S11">
        <f t="shared" si="2"/>
        <v>1</v>
      </c>
    </row>
    <row r="12" spans="1:19" x14ac:dyDescent="0.35">
      <c r="A12">
        <v>8</v>
      </c>
      <c r="B12" t="s">
        <v>10</v>
      </c>
      <c r="C12">
        <v>28</v>
      </c>
      <c r="D12">
        <v>11</v>
      </c>
      <c r="E12">
        <v>5</v>
      </c>
      <c r="F12">
        <v>0.153</v>
      </c>
      <c r="G12">
        <v>7.0999999999999994E-2</v>
      </c>
      <c r="H12">
        <v>5</v>
      </c>
      <c r="I12">
        <v>4</v>
      </c>
      <c r="J12">
        <v>0.8</v>
      </c>
      <c r="K12">
        <v>2</v>
      </c>
      <c r="L12">
        <v>3</v>
      </c>
      <c r="M12">
        <v>3</v>
      </c>
      <c r="N12">
        <v>1</v>
      </c>
      <c r="O12">
        <f t="shared" si="1"/>
        <v>0.5</v>
      </c>
      <c r="P12">
        <f t="shared" si="0"/>
        <v>0.75</v>
      </c>
      <c r="Q12">
        <f t="shared" si="0"/>
        <v>0.75</v>
      </c>
      <c r="R12">
        <f t="shared" si="0"/>
        <v>0.25</v>
      </c>
      <c r="S12">
        <f t="shared" si="2"/>
        <v>1.25</v>
      </c>
    </row>
    <row r="13" spans="1:19" x14ac:dyDescent="0.35">
      <c r="A13">
        <v>14</v>
      </c>
      <c r="B13" t="s">
        <v>10</v>
      </c>
      <c r="C13">
        <v>5</v>
      </c>
      <c r="D13">
        <v>10</v>
      </c>
      <c r="E13">
        <v>0</v>
      </c>
      <c r="F13">
        <v>7.6999999999999999E-2</v>
      </c>
      <c r="G13">
        <v>2.1999999999999999E-2</v>
      </c>
      <c r="H13">
        <v>3</v>
      </c>
      <c r="I13">
        <v>0</v>
      </c>
      <c r="J13">
        <v>0</v>
      </c>
      <c r="K13">
        <v>0</v>
      </c>
      <c r="L13">
        <v>4</v>
      </c>
      <c r="M13">
        <v>0</v>
      </c>
      <c r="N13">
        <v>0</v>
      </c>
      <c r="O13">
        <f t="shared" si="1"/>
        <v>0</v>
      </c>
      <c r="P13">
        <f t="shared" si="0"/>
        <v>1</v>
      </c>
      <c r="Q13">
        <f t="shared" si="0"/>
        <v>0</v>
      </c>
      <c r="R13">
        <f t="shared" si="0"/>
        <v>0</v>
      </c>
      <c r="S13">
        <f t="shared" si="2"/>
        <v>0</v>
      </c>
    </row>
    <row r="14" spans="1:19" x14ac:dyDescent="0.35">
      <c r="A14">
        <v>15</v>
      </c>
      <c r="B14" t="s">
        <v>10</v>
      </c>
      <c r="C14">
        <v>6</v>
      </c>
      <c r="D14">
        <v>5</v>
      </c>
      <c r="E14">
        <v>3</v>
      </c>
      <c r="F14">
        <v>0.107</v>
      </c>
      <c r="G14">
        <v>4.8000000000000001E-2</v>
      </c>
      <c r="H14">
        <v>4</v>
      </c>
      <c r="I14">
        <v>2</v>
      </c>
      <c r="J14">
        <v>0.5</v>
      </c>
      <c r="K14">
        <v>1</v>
      </c>
      <c r="L14">
        <v>3</v>
      </c>
      <c r="M14">
        <v>1</v>
      </c>
      <c r="N14">
        <v>0</v>
      </c>
      <c r="O14">
        <f t="shared" si="1"/>
        <v>0.25</v>
      </c>
      <c r="P14">
        <f t="shared" si="0"/>
        <v>0.75</v>
      </c>
      <c r="Q14">
        <f t="shared" si="0"/>
        <v>0.25</v>
      </c>
      <c r="R14">
        <f t="shared" si="0"/>
        <v>0</v>
      </c>
      <c r="S14">
        <f t="shared" si="2"/>
        <v>0.75</v>
      </c>
    </row>
    <row r="15" spans="1:19" x14ac:dyDescent="0.35">
      <c r="A15">
        <v>16</v>
      </c>
      <c r="B15" t="s">
        <v>10</v>
      </c>
      <c r="C15">
        <v>6</v>
      </c>
      <c r="D15">
        <v>3</v>
      </c>
      <c r="E15">
        <v>2</v>
      </c>
      <c r="F15">
        <v>0.124</v>
      </c>
      <c r="G15">
        <v>4.7E-2</v>
      </c>
      <c r="H15">
        <v>6</v>
      </c>
      <c r="I15">
        <v>3</v>
      </c>
      <c r="J15">
        <v>0.5</v>
      </c>
      <c r="K15">
        <v>0</v>
      </c>
      <c r="L15">
        <v>2</v>
      </c>
      <c r="M15">
        <v>0</v>
      </c>
      <c r="N15">
        <v>1</v>
      </c>
      <c r="O15">
        <f t="shared" si="1"/>
        <v>0</v>
      </c>
      <c r="P15">
        <f t="shared" si="0"/>
        <v>0.5</v>
      </c>
      <c r="Q15">
        <f t="shared" si="0"/>
        <v>0</v>
      </c>
      <c r="R15">
        <f t="shared" si="0"/>
        <v>0.25</v>
      </c>
      <c r="S15">
        <f t="shared" si="2"/>
        <v>0.5</v>
      </c>
    </row>
    <row r="16" spans="1:19" x14ac:dyDescent="0.35">
      <c r="A16">
        <v>17</v>
      </c>
      <c r="B16" t="s">
        <v>10</v>
      </c>
      <c r="C16">
        <v>17</v>
      </c>
      <c r="D16">
        <v>8</v>
      </c>
      <c r="E16">
        <v>3</v>
      </c>
      <c r="F16">
        <v>0.11700000000000001</v>
      </c>
      <c r="G16">
        <v>4.4999999999999998E-2</v>
      </c>
      <c r="H16">
        <v>4</v>
      </c>
      <c r="I16">
        <v>4</v>
      </c>
      <c r="J16">
        <v>1</v>
      </c>
      <c r="K16">
        <v>1</v>
      </c>
      <c r="L16">
        <v>3</v>
      </c>
      <c r="M16">
        <v>0</v>
      </c>
      <c r="N16">
        <v>0</v>
      </c>
      <c r="O16">
        <f t="shared" si="1"/>
        <v>0.25</v>
      </c>
      <c r="P16">
        <f t="shared" si="0"/>
        <v>0.75</v>
      </c>
      <c r="Q16">
        <f t="shared" si="0"/>
        <v>0</v>
      </c>
      <c r="R16">
        <f t="shared" si="0"/>
        <v>0</v>
      </c>
      <c r="S16">
        <f t="shared" si="2"/>
        <v>0.75</v>
      </c>
    </row>
    <row r="17" spans="1:19" x14ac:dyDescent="0.35">
      <c r="A17">
        <v>18</v>
      </c>
      <c r="B17" t="s">
        <v>10</v>
      </c>
      <c r="C17">
        <v>12</v>
      </c>
      <c r="D17">
        <v>9</v>
      </c>
      <c r="E17">
        <v>7</v>
      </c>
      <c r="F17">
        <v>8.5000000000000006E-2</v>
      </c>
      <c r="G17">
        <v>2.1999999999999999E-2</v>
      </c>
      <c r="H17">
        <v>4</v>
      </c>
      <c r="I17">
        <v>2</v>
      </c>
      <c r="J17">
        <v>0.5</v>
      </c>
      <c r="K17">
        <v>7</v>
      </c>
      <c r="L17">
        <v>2</v>
      </c>
      <c r="M17">
        <v>3</v>
      </c>
      <c r="N17">
        <v>2</v>
      </c>
      <c r="O17">
        <f t="shared" si="1"/>
        <v>1.75</v>
      </c>
      <c r="P17">
        <f t="shared" si="0"/>
        <v>0.5</v>
      </c>
      <c r="Q17">
        <f t="shared" si="0"/>
        <v>0.75</v>
      </c>
      <c r="R17">
        <f t="shared" si="0"/>
        <v>0.5</v>
      </c>
      <c r="S17">
        <f t="shared" si="2"/>
        <v>1.75</v>
      </c>
    </row>
    <row r="18" spans="1:19" x14ac:dyDescent="0.35">
      <c r="A18">
        <v>19</v>
      </c>
      <c r="B18" t="s">
        <v>10</v>
      </c>
      <c r="C18">
        <v>18</v>
      </c>
      <c r="D18">
        <v>12</v>
      </c>
      <c r="E18">
        <v>3</v>
      </c>
      <c r="F18">
        <v>0.17100000000000001</v>
      </c>
      <c r="G18">
        <v>7.4999999999999997E-2</v>
      </c>
      <c r="H18">
        <v>4</v>
      </c>
      <c r="I18">
        <v>0</v>
      </c>
      <c r="J18">
        <v>0</v>
      </c>
      <c r="K18">
        <v>5</v>
      </c>
      <c r="L18">
        <v>1</v>
      </c>
      <c r="M18">
        <v>1</v>
      </c>
      <c r="N18">
        <v>1</v>
      </c>
      <c r="O18">
        <f t="shared" si="1"/>
        <v>1.25</v>
      </c>
      <c r="P18">
        <f t="shared" si="1"/>
        <v>0.25</v>
      </c>
      <c r="Q18">
        <f t="shared" si="1"/>
        <v>0.25</v>
      </c>
      <c r="R18">
        <f t="shared" si="1"/>
        <v>0.25</v>
      </c>
      <c r="S18">
        <f t="shared" si="2"/>
        <v>0.75</v>
      </c>
    </row>
    <row r="19" spans="1:19" x14ac:dyDescent="0.35">
      <c r="A19">
        <v>20</v>
      </c>
      <c r="B19" t="s">
        <v>10</v>
      </c>
      <c r="C19">
        <v>12</v>
      </c>
      <c r="D19">
        <v>12</v>
      </c>
      <c r="E19">
        <v>2</v>
      </c>
      <c r="F19">
        <v>0.17699999999999999</v>
      </c>
      <c r="G19">
        <v>6.0999999999999999E-2</v>
      </c>
      <c r="H19">
        <v>4</v>
      </c>
      <c r="I19">
        <v>2</v>
      </c>
      <c r="J19">
        <v>0.5</v>
      </c>
      <c r="K19">
        <v>0</v>
      </c>
      <c r="L19">
        <v>4</v>
      </c>
      <c r="M19">
        <v>0</v>
      </c>
      <c r="N19">
        <v>1</v>
      </c>
      <c r="O19">
        <f t="shared" si="1"/>
        <v>0</v>
      </c>
      <c r="P19">
        <f t="shared" si="1"/>
        <v>1</v>
      </c>
      <c r="Q19">
        <f t="shared" si="1"/>
        <v>0</v>
      </c>
      <c r="R19">
        <f t="shared" si="1"/>
        <v>0.25</v>
      </c>
      <c r="S19">
        <f t="shared" si="2"/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C789-659E-42DE-B00D-1E492C8AF2DB}">
  <dimension ref="A1:X41"/>
  <sheetViews>
    <sheetView workbookViewId="0">
      <selection activeCell="C7" sqref="C7"/>
    </sheetView>
  </sheetViews>
  <sheetFormatPr defaultRowHeight="14.5" x14ac:dyDescent="0.35"/>
  <sheetData>
    <row r="1" spans="1:24" x14ac:dyDescent="0.35">
      <c r="A1" t="s">
        <v>11</v>
      </c>
      <c r="B1" t="s">
        <v>0</v>
      </c>
      <c r="C1" t="s">
        <v>21</v>
      </c>
      <c r="D1" t="s">
        <v>1</v>
      </c>
      <c r="E1" t="s">
        <v>22</v>
      </c>
      <c r="F1" t="s">
        <v>23</v>
      </c>
      <c r="G1" t="s">
        <v>24</v>
      </c>
      <c r="H1" t="s">
        <v>25</v>
      </c>
      <c r="I1" t="s">
        <v>2</v>
      </c>
      <c r="J1" t="s">
        <v>26</v>
      </c>
      <c r="K1" t="s">
        <v>13</v>
      </c>
      <c r="L1" t="s">
        <v>14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</row>
    <row r="2" spans="1:24" x14ac:dyDescent="0.35">
      <c r="A2" t="s">
        <v>10</v>
      </c>
      <c r="B2">
        <v>1</v>
      </c>
      <c r="C2">
        <v>65</v>
      </c>
      <c r="D2">
        <v>26</v>
      </c>
      <c r="E2">
        <v>4.4000000000000004</v>
      </c>
      <c r="F2">
        <v>1.2</v>
      </c>
      <c r="G2">
        <v>18</v>
      </c>
      <c r="H2" t="s">
        <v>39</v>
      </c>
      <c r="I2">
        <f>SUM(K2:L2)</f>
        <v>7</v>
      </c>
      <c r="J2">
        <f>SUM(M2:N2)</f>
        <v>11</v>
      </c>
      <c r="K2">
        <v>5</v>
      </c>
      <c r="L2">
        <v>2</v>
      </c>
      <c r="M2">
        <v>3</v>
      </c>
      <c r="N2">
        <v>8</v>
      </c>
      <c r="O2">
        <f>C2/G2</f>
        <v>3.6111111111111112</v>
      </c>
      <c r="P2">
        <f t="shared" ref="P2:P41" si="0">F2/E2</f>
        <v>0.27272727272727271</v>
      </c>
      <c r="Q2">
        <f>O2/D2</f>
        <v>0.1388888888888889</v>
      </c>
      <c r="R2">
        <f>K2/10</f>
        <v>0.5</v>
      </c>
      <c r="S2">
        <f t="shared" ref="S2:U17" si="1">L2/10</f>
        <v>0.2</v>
      </c>
      <c r="T2">
        <f t="shared" si="1"/>
        <v>0.3</v>
      </c>
      <c r="U2">
        <f t="shared" si="1"/>
        <v>0.8</v>
      </c>
      <c r="V2">
        <f>I2/10</f>
        <v>0.7</v>
      </c>
      <c r="W2">
        <f>J2/10</f>
        <v>1.1000000000000001</v>
      </c>
      <c r="X2" t="s">
        <v>40</v>
      </c>
    </row>
    <row r="3" spans="1:24" x14ac:dyDescent="0.35">
      <c r="A3" t="s">
        <v>10</v>
      </c>
      <c r="B3">
        <v>2</v>
      </c>
      <c r="C3">
        <v>53</v>
      </c>
      <c r="D3">
        <v>18</v>
      </c>
      <c r="E3">
        <v>4.0999999999999996</v>
      </c>
      <c r="F3">
        <v>0.9</v>
      </c>
      <c r="G3">
        <v>16</v>
      </c>
      <c r="H3" t="s">
        <v>41</v>
      </c>
      <c r="I3">
        <f t="shared" ref="I3:I41" si="2">SUM(K3:L3)</f>
        <v>10</v>
      </c>
      <c r="J3">
        <f t="shared" ref="J3:J41" si="3">SUM(M3:N3)</f>
        <v>10</v>
      </c>
      <c r="K3">
        <v>4</v>
      </c>
      <c r="L3">
        <v>6</v>
      </c>
      <c r="M3">
        <v>3</v>
      </c>
      <c r="N3">
        <v>7</v>
      </c>
      <c r="O3">
        <f t="shared" ref="O3:O41" si="4">C3/G3</f>
        <v>3.3125</v>
      </c>
      <c r="P3">
        <f t="shared" si="0"/>
        <v>0.21951219512195125</v>
      </c>
      <c r="Q3">
        <f t="shared" ref="Q3:Q35" si="5">O3/D3</f>
        <v>0.18402777777777779</v>
      </c>
      <c r="R3">
        <f t="shared" ref="R3:U41" si="6">K3/10</f>
        <v>0.4</v>
      </c>
      <c r="S3">
        <f t="shared" si="1"/>
        <v>0.6</v>
      </c>
      <c r="T3">
        <f t="shared" si="1"/>
        <v>0.3</v>
      </c>
      <c r="U3">
        <f t="shared" si="1"/>
        <v>0.7</v>
      </c>
      <c r="V3">
        <f t="shared" ref="V3:W41" si="7">I3/10</f>
        <v>1</v>
      </c>
      <c r="W3">
        <f t="shared" si="7"/>
        <v>1</v>
      </c>
      <c r="X3" t="s">
        <v>40</v>
      </c>
    </row>
    <row r="4" spans="1:24" x14ac:dyDescent="0.35">
      <c r="A4" t="s">
        <v>10</v>
      </c>
      <c r="B4">
        <v>3</v>
      </c>
      <c r="C4">
        <v>60</v>
      </c>
      <c r="D4">
        <v>20</v>
      </c>
      <c r="E4">
        <v>4.2</v>
      </c>
      <c r="F4">
        <v>1.1000000000000001</v>
      </c>
      <c r="G4">
        <v>17</v>
      </c>
      <c r="H4" t="s">
        <v>42</v>
      </c>
      <c r="I4">
        <f t="shared" si="2"/>
        <v>10</v>
      </c>
      <c r="J4">
        <f t="shared" si="3"/>
        <v>13</v>
      </c>
      <c r="K4">
        <v>7</v>
      </c>
      <c r="L4">
        <v>3</v>
      </c>
      <c r="M4">
        <v>2</v>
      </c>
      <c r="N4">
        <v>11</v>
      </c>
      <c r="O4">
        <f t="shared" si="4"/>
        <v>3.5294117647058822</v>
      </c>
      <c r="P4">
        <f t="shared" si="0"/>
        <v>0.26190476190476192</v>
      </c>
      <c r="Q4">
        <f t="shared" si="5"/>
        <v>0.1764705882352941</v>
      </c>
      <c r="R4">
        <f t="shared" si="6"/>
        <v>0.7</v>
      </c>
      <c r="S4">
        <f t="shared" si="1"/>
        <v>0.3</v>
      </c>
      <c r="T4">
        <f t="shared" si="1"/>
        <v>0.2</v>
      </c>
      <c r="U4">
        <f t="shared" si="1"/>
        <v>1.1000000000000001</v>
      </c>
      <c r="V4">
        <f t="shared" si="7"/>
        <v>1</v>
      </c>
      <c r="W4">
        <f t="shared" si="7"/>
        <v>1.3</v>
      </c>
      <c r="X4" t="s">
        <v>40</v>
      </c>
    </row>
    <row r="5" spans="1:24" x14ac:dyDescent="0.35">
      <c r="A5" t="s">
        <v>10</v>
      </c>
      <c r="B5">
        <v>4</v>
      </c>
      <c r="C5">
        <v>63</v>
      </c>
      <c r="D5">
        <v>21</v>
      </c>
      <c r="E5">
        <v>4.0999999999999996</v>
      </c>
      <c r="F5">
        <v>1</v>
      </c>
      <c r="G5">
        <v>17</v>
      </c>
      <c r="H5" t="s">
        <v>43</v>
      </c>
      <c r="I5">
        <f t="shared" si="2"/>
        <v>8</v>
      </c>
      <c r="J5">
        <f t="shared" si="3"/>
        <v>11</v>
      </c>
      <c r="K5">
        <v>5</v>
      </c>
      <c r="L5">
        <v>3</v>
      </c>
      <c r="M5">
        <v>0</v>
      </c>
      <c r="N5">
        <v>11</v>
      </c>
      <c r="O5">
        <f t="shared" si="4"/>
        <v>3.7058823529411766</v>
      </c>
      <c r="P5">
        <f t="shared" si="0"/>
        <v>0.24390243902439027</v>
      </c>
      <c r="Q5">
        <f t="shared" si="5"/>
        <v>0.17647058823529413</v>
      </c>
      <c r="R5">
        <f t="shared" si="6"/>
        <v>0.5</v>
      </c>
      <c r="S5">
        <f t="shared" si="1"/>
        <v>0.3</v>
      </c>
      <c r="T5">
        <f t="shared" si="1"/>
        <v>0</v>
      </c>
      <c r="U5">
        <f t="shared" si="1"/>
        <v>1.1000000000000001</v>
      </c>
      <c r="V5">
        <f t="shared" si="7"/>
        <v>0.8</v>
      </c>
      <c r="W5">
        <f t="shared" si="7"/>
        <v>1.1000000000000001</v>
      </c>
      <c r="X5" t="s">
        <v>40</v>
      </c>
    </row>
    <row r="6" spans="1:24" x14ac:dyDescent="0.35">
      <c r="A6" t="s">
        <v>10</v>
      </c>
      <c r="B6">
        <v>5</v>
      </c>
      <c r="C6">
        <v>71</v>
      </c>
      <c r="D6">
        <v>25</v>
      </c>
      <c r="E6">
        <v>4.5</v>
      </c>
      <c r="F6">
        <v>1.1000000000000001</v>
      </c>
      <c r="G6">
        <v>18</v>
      </c>
      <c r="H6" t="s">
        <v>44</v>
      </c>
      <c r="I6">
        <f t="shared" si="2"/>
        <v>5</v>
      </c>
      <c r="J6">
        <f t="shared" si="3"/>
        <v>12</v>
      </c>
      <c r="K6">
        <v>3</v>
      </c>
      <c r="L6">
        <v>2</v>
      </c>
      <c r="M6">
        <v>5</v>
      </c>
      <c r="N6">
        <v>7</v>
      </c>
      <c r="O6">
        <f t="shared" si="4"/>
        <v>3.9444444444444446</v>
      </c>
      <c r="P6">
        <f t="shared" si="0"/>
        <v>0.24444444444444446</v>
      </c>
      <c r="Q6">
        <f t="shared" si="5"/>
        <v>0.15777777777777779</v>
      </c>
      <c r="R6">
        <f t="shared" si="6"/>
        <v>0.3</v>
      </c>
      <c r="S6">
        <f t="shared" si="1"/>
        <v>0.2</v>
      </c>
      <c r="T6">
        <f t="shared" si="1"/>
        <v>0.5</v>
      </c>
      <c r="U6">
        <f t="shared" si="1"/>
        <v>0.7</v>
      </c>
      <c r="V6">
        <f t="shared" si="7"/>
        <v>0.5</v>
      </c>
      <c r="W6">
        <f t="shared" si="7"/>
        <v>1.2</v>
      </c>
      <c r="X6" t="s">
        <v>40</v>
      </c>
    </row>
    <row r="7" spans="1:24" x14ac:dyDescent="0.35">
      <c r="A7" t="s">
        <v>10</v>
      </c>
      <c r="B7">
        <v>6</v>
      </c>
      <c r="C7">
        <v>64</v>
      </c>
      <c r="D7">
        <v>22</v>
      </c>
      <c r="E7">
        <v>4.3</v>
      </c>
      <c r="F7">
        <v>1.2</v>
      </c>
      <c r="G7">
        <v>16</v>
      </c>
      <c r="H7" t="s">
        <v>45</v>
      </c>
      <c r="I7">
        <f t="shared" si="2"/>
        <v>9</v>
      </c>
      <c r="J7">
        <f t="shared" si="3"/>
        <v>7</v>
      </c>
      <c r="K7">
        <v>7</v>
      </c>
      <c r="L7">
        <v>2</v>
      </c>
      <c r="M7">
        <v>3</v>
      </c>
      <c r="N7">
        <v>4</v>
      </c>
      <c r="O7">
        <f t="shared" si="4"/>
        <v>4</v>
      </c>
      <c r="P7">
        <f t="shared" si="0"/>
        <v>0.27906976744186046</v>
      </c>
      <c r="Q7">
        <f t="shared" si="5"/>
        <v>0.18181818181818182</v>
      </c>
      <c r="R7">
        <f t="shared" si="6"/>
        <v>0.7</v>
      </c>
      <c r="S7">
        <f t="shared" si="1"/>
        <v>0.2</v>
      </c>
      <c r="T7">
        <f t="shared" si="1"/>
        <v>0.3</v>
      </c>
      <c r="U7">
        <f t="shared" si="1"/>
        <v>0.4</v>
      </c>
      <c r="V7">
        <f t="shared" si="7"/>
        <v>0.9</v>
      </c>
      <c r="W7">
        <f t="shared" si="7"/>
        <v>0.7</v>
      </c>
      <c r="X7" t="s">
        <v>40</v>
      </c>
    </row>
    <row r="8" spans="1:24" x14ac:dyDescent="0.35">
      <c r="A8" t="s">
        <v>10</v>
      </c>
      <c r="B8">
        <v>7</v>
      </c>
      <c r="C8">
        <v>58</v>
      </c>
      <c r="D8">
        <v>19</v>
      </c>
      <c r="E8">
        <v>4</v>
      </c>
      <c r="F8">
        <v>1.1000000000000001</v>
      </c>
      <c r="G8">
        <v>16</v>
      </c>
      <c r="H8" t="s">
        <v>46</v>
      </c>
      <c r="I8">
        <f t="shared" si="2"/>
        <v>9</v>
      </c>
      <c r="J8">
        <f t="shared" si="3"/>
        <v>4</v>
      </c>
      <c r="K8">
        <v>6</v>
      </c>
      <c r="L8">
        <v>3</v>
      </c>
      <c r="M8">
        <v>2</v>
      </c>
      <c r="N8">
        <v>2</v>
      </c>
      <c r="O8">
        <f t="shared" si="4"/>
        <v>3.625</v>
      </c>
      <c r="P8">
        <f t="shared" si="0"/>
        <v>0.27500000000000002</v>
      </c>
      <c r="Q8">
        <f t="shared" si="5"/>
        <v>0.19078947368421054</v>
      </c>
      <c r="R8">
        <f t="shared" si="6"/>
        <v>0.6</v>
      </c>
      <c r="S8">
        <f t="shared" si="1"/>
        <v>0.3</v>
      </c>
      <c r="T8">
        <f t="shared" si="1"/>
        <v>0.2</v>
      </c>
      <c r="U8">
        <f t="shared" si="1"/>
        <v>0.2</v>
      </c>
      <c r="V8">
        <f t="shared" si="7"/>
        <v>0.9</v>
      </c>
      <c r="W8">
        <f t="shared" si="7"/>
        <v>0.4</v>
      </c>
      <c r="X8" t="s">
        <v>40</v>
      </c>
    </row>
    <row r="9" spans="1:24" x14ac:dyDescent="0.35">
      <c r="A9" t="s">
        <v>10</v>
      </c>
      <c r="B9">
        <v>8</v>
      </c>
      <c r="C9">
        <v>63</v>
      </c>
      <c r="D9">
        <v>21</v>
      </c>
      <c r="E9">
        <v>4</v>
      </c>
      <c r="F9">
        <v>1</v>
      </c>
      <c r="G9">
        <v>16</v>
      </c>
      <c r="H9" t="s">
        <v>47</v>
      </c>
      <c r="I9">
        <f t="shared" si="2"/>
        <v>8</v>
      </c>
      <c r="J9">
        <f t="shared" si="3"/>
        <v>12</v>
      </c>
      <c r="K9">
        <v>5</v>
      </c>
      <c r="L9">
        <v>3</v>
      </c>
      <c r="M9">
        <v>4</v>
      </c>
      <c r="N9">
        <v>8</v>
      </c>
      <c r="O9">
        <f t="shared" si="4"/>
        <v>3.9375</v>
      </c>
      <c r="P9">
        <f t="shared" si="0"/>
        <v>0.25</v>
      </c>
      <c r="Q9">
        <f t="shared" si="5"/>
        <v>0.1875</v>
      </c>
      <c r="R9">
        <f t="shared" si="6"/>
        <v>0.5</v>
      </c>
      <c r="S9">
        <f t="shared" si="1"/>
        <v>0.3</v>
      </c>
      <c r="T9">
        <f t="shared" si="1"/>
        <v>0.4</v>
      </c>
      <c r="U9">
        <f t="shared" si="1"/>
        <v>0.8</v>
      </c>
      <c r="V9">
        <f t="shared" si="7"/>
        <v>0.8</v>
      </c>
      <c r="W9">
        <f t="shared" si="7"/>
        <v>1.2</v>
      </c>
      <c r="X9" t="s">
        <v>40</v>
      </c>
    </row>
    <row r="10" spans="1:24" x14ac:dyDescent="0.35">
      <c r="A10" t="s">
        <v>10</v>
      </c>
      <c r="B10">
        <v>9</v>
      </c>
      <c r="C10">
        <v>60</v>
      </c>
      <c r="D10">
        <v>15</v>
      </c>
      <c r="E10">
        <v>4.3</v>
      </c>
      <c r="F10">
        <v>1.1000000000000001</v>
      </c>
      <c r="G10">
        <v>17</v>
      </c>
      <c r="H10" t="s">
        <v>48</v>
      </c>
      <c r="I10">
        <f t="shared" si="2"/>
        <v>8</v>
      </c>
      <c r="J10">
        <f t="shared" si="3"/>
        <v>14</v>
      </c>
      <c r="K10">
        <v>4</v>
      </c>
      <c r="L10">
        <v>4</v>
      </c>
      <c r="M10">
        <v>6</v>
      </c>
      <c r="N10">
        <v>8</v>
      </c>
      <c r="O10">
        <f t="shared" si="4"/>
        <v>3.5294117647058822</v>
      </c>
      <c r="P10">
        <f t="shared" si="0"/>
        <v>0.2558139534883721</v>
      </c>
      <c r="Q10">
        <f t="shared" si="5"/>
        <v>0.23529411764705882</v>
      </c>
      <c r="R10">
        <f t="shared" si="6"/>
        <v>0.4</v>
      </c>
      <c r="S10">
        <f t="shared" si="1"/>
        <v>0.4</v>
      </c>
      <c r="T10">
        <f t="shared" si="1"/>
        <v>0.6</v>
      </c>
      <c r="U10">
        <f t="shared" si="1"/>
        <v>0.8</v>
      </c>
      <c r="V10">
        <f t="shared" si="7"/>
        <v>0.8</v>
      </c>
      <c r="W10">
        <f t="shared" si="7"/>
        <v>1.4</v>
      </c>
      <c r="X10" t="s">
        <v>40</v>
      </c>
    </row>
    <row r="11" spans="1:24" x14ac:dyDescent="0.35">
      <c r="A11" t="s">
        <v>10</v>
      </c>
      <c r="B11">
        <v>10</v>
      </c>
      <c r="C11">
        <v>48</v>
      </c>
      <c r="D11">
        <v>16</v>
      </c>
      <c r="E11">
        <v>4.0999999999999996</v>
      </c>
      <c r="F11">
        <v>1.2</v>
      </c>
      <c r="G11">
        <v>16</v>
      </c>
      <c r="H11" t="s">
        <v>49</v>
      </c>
      <c r="I11">
        <f t="shared" si="2"/>
        <v>11</v>
      </c>
      <c r="J11">
        <f t="shared" si="3"/>
        <v>3</v>
      </c>
      <c r="K11">
        <v>5</v>
      </c>
      <c r="L11">
        <v>6</v>
      </c>
      <c r="M11">
        <v>1</v>
      </c>
      <c r="N11">
        <v>2</v>
      </c>
      <c r="O11">
        <f t="shared" si="4"/>
        <v>3</v>
      </c>
      <c r="P11">
        <f t="shared" si="0"/>
        <v>0.29268292682926833</v>
      </c>
      <c r="Q11">
        <f t="shared" si="5"/>
        <v>0.1875</v>
      </c>
      <c r="R11">
        <f t="shared" si="6"/>
        <v>0.5</v>
      </c>
      <c r="S11">
        <f t="shared" si="1"/>
        <v>0.6</v>
      </c>
      <c r="T11">
        <f t="shared" si="1"/>
        <v>0.1</v>
      </c>
      <c r="U11">
        <f t="shared" si="1"/>
        <v>0.2</v>
      </c>
      <c r="V11">
        <f t="shared" si="7"/>
        <v>1.1000000000000001</v>
      </c>
      <c r="W11">
        <f t="shared" si="7"/>
        <v>0.3</v>
      </c>
      <c r="X11" t="s">
        <v>40</v>
      </c>
    </row>
    <row r="12" spans="1:24" x14ac:dyDescent="0.35">
      <c r="A12" t="s">
        <v>10</v>
      </c>
      <c r="B12">
        <v>11</v>
      </c>
      <c r="C12">
        <v>67</v>
      </c>
      <c r="D12">
        <v>24</v>
      </c>
      <c r="E12">
        <v>4.2</v>
      </c>
      <c r="F12">
        <v>1</v>
      </c>
      <c r="G12">
        <v>17</v>
      </c>
      <c r="H12" t="s">
        <v>50</v>
      </c>
      <c r="I12">
        <f t="shared" si="2"/>
        <v>5</v>
      </c>
      <c r="J12">
        <f t="shared" si="3"/>
        <v>7</v>
      </c>
      <c r="K12">
        <v>4</v>
      </c>
      <c r="L12">
        <v>1</v>
      </c>
      <c r="M12">
        <v>1</v>
      </c>
      <c r="N12">
        <v>6</v>
      </c>
      <c r="O12">
        <f t="shared" si="4"/>
        <v>3.9411764705882355</v>
      </c>
      <c r="P12">
        <f t="shared" si="0"/>
        <v>0.23809523809523808</v>
      </c>
      <c r="Q12">
        <f t="shared" si="5"/>
        <v>0.1642156862745098</v>
      </c>
      <c r="R12">
        <f t="shared" si="6"/>
        <v>0.4</v>
      </c>
      <c r="S12">
        <f t="shared" si="1"/>
        <v>0.1</v>
      </c>
      <c r="T12">
        <f t="shared" si="1"/>
        <v>0.1</v>
      </c>
      <c r="U12">
        <f t="shared" si="1"/>
        <v>0.6</v>
      </c>
      <c r="V12">
        <f t="shared" si="7"/>
        <v>0.5</v>
      </c>
      <c r="W12">
        <f t="shared" si="7"/>
        <v>0.7</v>
      </c>
      <c r="X12" t="s">
        <v>40</v>
      </c>
    </row>
    <row r="13" spans="1:24" x14ac:dyDescent="0.35">
      <c r="A13" t="s">
        <v>10</v>
      </c>
      <c r="B13">
        <v>12</v>
      </c>
      <c r="C13">
        <v>59</v>
      </c>
      <c r="D13">
        <v>21</v>
      </c>
      <c r="E13">
        <v>4</v>
      </c>
      <c r="F13">
        <v>1</v>
      </c>
      <c r="G13">
        <v>16</v>
      </c>
      <c r="H13" t="s">
        <v>51</v>
      </c>
      <c r="I13">
        <f t="shared" si="2"/>
        <v>8</v>
      </c>
      <c r="J13">
        <f t="shared" si="3"/>
        <v>9</v>
      </c>
      <c r="K13">
        <v>3</v>
      </c>
      <c r="L13">
        <v>5</v>
      </c>
      <c r="M13">
        <v>1</v>
      </c>
      <c r="N13">
        <v>8</v>
      </c>
      <c r="O13">
        <f t="shared" si="4"/>
        <v>3.6875</v>
      </c>
      <c r="P13">
        <f t="shared" si="0"/>
        <v>0.25</v>
      </c>
      <c r="Q13">
        <f t="shared" si="5"/>
        <v>0.17559523809523808</v>
      </c>
      <c r="R13">
        <f t="shared" si="6"/>
        <v>0.3</v>
      </c>
      <c r="S13">
        <f t="shared" si="1"/>
        <v>0.5</v>
      </c>
      <c r="T13">
        <f t="shared" si="1"/>
        <v>0.1</v>
      </c>
      <c r="U13">
        <f t="shared" si="1"/>
        <v>0.8</v>
      </c>
      <c r="V13">
        <f t="shared" si="7"/>
        <v>0.8</v>
      </c>
      <c r="W13">
        <f t="shared" si="7"/>
        <v>0.9</v>
      </c>
      <c r="X13" t="s">
        <v>40</v>
      </c>
    </row>
    <row r="14" spans="1:24" x14ac:dyDescent="0.35">
      <c r="A14" t="s">
        <v>10</v>
      </c>
      <c r="B14">
        <v>13</v>
      </c>
      <c r="C14">
        <v>51</v>
      </c>
      <c r="D14">
        <v>19</v>
      </c>
      <c r="E14">
        <v>3.9</v>
      </c>
      <c r="F14">
        <v>1</v>
      </c>
      <c r="G14">
        <v>16</v>
      </c>
      <c r="H14" t="s">
        <v>52</v>
      </c>
      <c r="I14">
        <f t="shared" si="2"/>
        <v>9</v>
      </c>
      <c r="J14">
        <f t="shared" si="3"/>
        <v>14</v>
      </c>
      <c r="K14">
        <v>7</v>
      </c>
      <c r="L14">
        <v>2</v>
      </c>
      <c r="M14">
        <v>2</v>
      </c>
      <c r="N14">
        <v>12</v>
      </c>
      <c r="O14">
        <f t="shared" si="4"/>
        <v>3.1875</v>
      </c>
      <c r="P14">
        <f t="shared" si="0"/>
        <v>0.25641025641025644</v>
      </c>
      <c r="Q14">
        <f t="shared" si="5"/>
        <v>0.16776315789473684</v>
      </c>
      <c r="R14">
        <f t="shared" si="6"/>
        <v>0.7</v>
      </c>
      <c r="S14">
        <f t="shared" si="1"/>
        <v>0.2</v>
      </c>
      <c r="T14">
        <f t="shared" si="1"/>
        <v>0.2</v>
      </c>
      <c r="U14">
        <f t="shared" si="1"/>
        <v>1.2</v>
      </c>
      <c r="V14">
        <f t="shared" si="7"/>
        <v>0.9</v>
      </c>
      <c r="W14">
        <f t="shared" si="7"/>
        <v>1.4</v>
      </c>
      <c r="X14" t="s">
        <v>40</v>
      </c>
    </row>
    <row r="15" spans="1:24" x14ac:dyDescent="0.35">
      <c r="A15" t="s">
        <v>10</v>
      </c>
      <c r="B15">
        <v>14</v>
      </c>
      <c r="C15">
        <v>68</v>
      </c>
      <c r="D15">
        <v>23</v>
      </c>
      <c r="E15">
        <v>4.4000000000000004</v>
      </c>
      <c r="F15">
        <v>1.2</v>
      </c>
      <c r="G15">
        <v>18</v>
      </c>
      <c r="H15" t="s">
        <v>53</v>
      </c>
      <c r="I15">
        <f t="shared" si="2"/>
        <v>5</v>
      </c>
      <c r="J15">
        <f t="shared" si="3"/>
        <v>8</v>
      </c>
      <c r="K15">
        <v>0</v>
      </c>
      <c r="L15">
        <v>5</v>
      </c>
      <c r="M15">
        <v>5</v>
      </c>
      <c r="N15">
        <v>3</v>
      </c>
      <c r="O15">
        <f t="shared" si="4"/>
        <v>3.7777777777777777</v>
      </c>
      <c r="P15">
        <f t="shared" si="0"/>
        <v>0.27272727272727271</v>
      </c>
      <c r="Q15">
        <f t="shared" si="5"/>
        <v>0.16425120772946861</v>
      </c>
      <c r="R15">
        <f t="shared" si="6"/>
        <v>0</v>
      </c>
      <c r="S15">
        <f t="shared" si="1"/>
        <v>0.5</v>
      </c>
      <c r="T15">
        <f t="shared" si="1"/>
        <v>0.5</v>
      </c>
      <c r="U15">
        <f t="shared" si="1"/>
        <v>0.3</v>
      </c>
      <c r="V15">
        <f t="shared" si="7"/>
        <v>0.5</v>
      </c>
      <c r="W15">
        <f t="shared" si="7"/>
        <v>0.8</v>
      </c>
      <c r="X15" t="s">
        <v>40</v>
      </c>
    </row>
    <row r="16" spans="1:24" x14ac:dyDescent="0.35">
      <c r="A16" t="s">
        <v>10</v>
      </c>
      <c r="B16">
        <v>15</v>
      </c>
      <c r="C16">
        <v>61</v>
      </c>
      <c r="D16">
        <v>25</v>
      </c>
      <c r="E16">
        <v>4.0999999999999996</v>
      </c>
      <c r="F16">
        <v>1.1000000000000001</v>
      </c>
      <c r="G16">
        <v>17</v>
      </c>
      <c r="H16" t="s">
        <v>54</v>
      </c>
      <c r="I16">
        <f t="shared" si="2"/>
        <v>9</v>
      </c>
      <c r="J16">
        <f t="shared" si="3"/>
        <v>8</v>
      </c>
      <c r="K16">
        <v>6</v>
      </c>
      <c r="L16">
        <v>3</v>
      </c>
      <c r="M16">
        <v>0</v>
      </c>
      <c r="N16">
        <v>8</v>
      </c>
      <c r="O16">
        <f t="shared" si="4"/>
        <v>3.5882352941176472</v>
      </c>
      <c r="P16">
        <f t="shared" si="0"/>
        <v>0.26829268292682934</v>
      </c>
      <c r="Q16">
        <f t="shared" si="5"/>
        <v>0.14352941176470588</v>
      </c>
      <c r="R16">
        <f t="shared" si="6"/>
        <v>0.6</v>
      </c>
      <c r="S16">
        <f t="shared" si="1"/>
        <v>0.3</v>
      </c>
      <c r="T16">
        <f t="shared" si="1"/>
        <v>0</v>
      </c>
      <c r="U16">
        <f t="shared" si="1"/>
        <v>0.8</v>
      </c>
      <c r="V16">
        <f t="shared" si="7"/>
        <v>0.9</v>
      </c>
      <c r="W16">
        <f t="shared" si="7"/>
        <v>0.8</v>
      </c>
      <c r="X16" t="s">
        <v>40</v>
      </c>
    </row>
    <row r="17" spans="1:24" x14ac:dyDescent="0.35">
      <c r="A17" t="s">
        <v>10</v>
      </c>
      <c r="B17">
        <v>16</v>
      </c>
      <c r="C17">
        <v>50</v>
      </c>
      <c r="D17">
        <v>22</v>
      </c>
      <c r="E17">
        <v>4</v>
      </c>
      <c r="F17">
        <v>0.9</v>
      </c>
      <c r="G17">
        <v>16</v>
      </c>
      <c r="H17" t="s">
        <v>55</v>
      </c>
      <c r="I17">
        <f t="shared" si="2"/>
        <v>9</v>
      </c>
      <c r="J17">
        <f t="shared" si="3"/>
        <v>5</v>
      </c>
      <c r="K17">
        <v>6</v>
      </c>
      <c r="L17">
        <v>3</v>
      </c>
      <c r="M17">
        <v>0</v>
      </c>
      <c r="N17">
        <v>5</v>
      </c>
      <c r="O17">
        <f t="shared" si="4"/>
        <v>3.125</v>
      </c>
      <c r="P17">
        <f t="shared" si="0"/>
        <v>0.22500000000000001</v>
      </c>
      <c r="Q17">
        <f t="shared" si="5"/>
        <v>0.14204545454545456</v>
      </c>
      <c r="R17">
        <f t="shared" si="6"/>
        <v>0.6</v>
      </c>
      <c r="S17">
        <f t="shared" si="1"/>
        <v>0.3</v>
      </c>
      <c r="T17">
        <f t="shared" si="1"/>
        <v>0</v>
      </c>
      <c r="U17">
        <f t="shared" si="1"/>
        <v>0.5</v>
      </c>
      <c r="V17">
        <f t="shared" si="7"/>
        <v>0.9</v>
      </c>
      <c r="W17">
        <f t="shared" si="7"/>
        <v>0.5</v>
      </c>
      <c r="X17" t="s">
        <v>40</v>
      </c>
    </row>
    <row r="18" spans="1:24" x14ac:dyDescent="0.35">
      <c r="A18" t="s">
        <v>10</v>
      </c>
      <c r="B18">
        <v>17</v>
      </c>
      <c r="C18">
        <v>53</v>
      </c>
      <c r="D18">
        <v>21</v>
      </c>
      <c r="E18">
        <v>3.8</v>
      </c>
      <c r="F18">
        <v>0.9</v>
      </c>
      <c r="G18">
        <v>16</v>
      </c>
      <c r="H18" t="s">
        <v>56</v>
      </c>
      <c r="I18">
        <f t="shared" si="2"/>
        <v>10</v>
      </c>
      <c r="J18">
        <f t="shared" si="3"/>
        <v>7</v>
      </c>
      <c r="K18">
        <v>8</v>
      </c>
      <c r="L18">
        <v>2</v>
      </c>
      <c r="M18">
        <v>1</v>
      </c>
      <c r="N18">
        <v>6</v>
      </c>
      <c r="O18">
        <f t="shared" si="4"/>
        <v>3.3125</v>
      </c>
      <c r="P18">
        <f t="shared" si="0"/>
        <v>0.23684210526315791</v>
      </c>
      <c r="Q18">
        <f t="shared" si="5"/>
        <v>0.15773809523809523</v>
      </c>
      <c r="R18">
        <f t="shared" si="6"/>
        <v>0.8</v>
      </c>
      <c r="S18">
        <f t="shared" si="6"/>
        <v>0.2</v>
      </c>
      <c r="T18">
        <f t="shared" si="6"/>
        <v>0.1</v>
      </c>
      <c r="U18">
        <f t="shared" si="6"/>
        <v>0.6</v>
      </c>
      <c r="V18">
        <f t="shared" si="7"/>
        <v>1</v>
      </c>
      <c r="W18">
        <f t="shared" si="7"/>
        <v>0.7</v>
      </c>
      <c r="X18" t="s">
        <v>40</v>
      </c>
    </row>
    <row r="19" spans="1:24" x14ac:dyDescent="0.35">
      <c r="A19" t="s">
        <v>10</v>
      </c>
      <c r="B19">
        <v>18</v>
      </c>
      <c r="C19">
        <v>54</v>
      </c>
      <c r="D19">
        <v>24</v>
      </c>
      <c r="E19">
        <v>4</v>
      </c>
      <c r="F19">
        <v>1</v>
      </c>
      <c r="G19">
        <v>17</v>
      </c>
      <c r="H19" t="s">
        <v>57</v>
      </c>
      <c r="I19">
        <f t="shared" si="2"/>
        <v>9</v>
      </c>
      <c r="J19">
        <f t="shared" si="3"/>
        <v>9</v>
      </c>
      <c r="K19">
        <v>5</v>
      </c>
      <c r="L19">
        <v>4</v>
      </c>
      <c r="M19">
        <v>1</v>
      </c>
      <c r="N19">
        <v>8</v>
      </c>
      <c r="O19">
        <f t="shared" si="4"/>
        <v>3.1764705882352939</v>
      </c>
      <c r="P19">
        <f t="shared" si="0"/>
        <v>0.25</v>
      </c>
      <c r="Q19">
        <f t="shared" si="5"/>
        <v>0.13235294117647059</v>
      </c>
      <c r="R19">
        <f t="shared" si="6"/>
        <v>0.5</v>
      </c>
      <c r="S19">
        <f t="shared" si="6"/>
        <v>0.4</v>
      </c>
      <c r="T19">
        <f t="shared" si="6"/>
        <v>0.1</v>
      </c>
      <c r="U19">
        <f t="shared" si="6"/>
        <v>0.8</v>
      </c>
      <c r="V19">
        <f t="shared" si="7"/>
        <v>0.9</v>
      </c>
      <c r="W19">
        <f t="shared" si="7"/>
        <v>0.9</v>
      </c>
      <c r="X19" t="s">
        <v>40</v>
      </c>
    </row>
    <row r="20" spans="1:24" x14ac:dyDescent="0.35">
      <c r="A20" t="s">
        <v>10</v>
      </c>
      <c r="B20">
        <v>19</v>
      </c>
      <c r="C20">
        <v>46</v>
      </c>
      <c r="D20">
        <v>16</v>
      </c>
      <c r="E20">
        <v>4.0999999999999996</v>
      </c>
      <c r="F20">
        <v>1.1000000000000001</v>
      </c>
      <c r="G20">
        <v>16</v>
      </c>
      <c r="H20" t="s">
        <v>58</v>
      </c>
      <c r="I20">
        <f t="shared" si="2"/>
        <v>8</v>
      </c>
      <c r="J20">
        <f t="shared" si="3"/>
        <v>7</v>
      </c>
      <c r="K20">
        <v>5</v>
      </c>
      <c r="L20">
        <v>3</v>
      </c>
      <c r="M20">
        <v>2</v>
      </c>
      <c r="N20">
        <v>5</v>
      </c>
      <c r="O20">
        <f t="shared" si="4"/>
        <v>2.875</v>
      </c>
      <c r="P20">
        <f t="shared" si="0"/>
        <v>0.26829268292682934</v>
      </c>
      <c r="Q20">
        <f t="shared" si="5"/>
        <v>0.1796875</v>
      </c>
      <c r="R20">
        <f t="shared" si="6"/>
        <v>0.5</v>
      </c>
      <c r="S20">
        <f t="shared" si="6"/>
        <v>0.3</v>
      </c>
      <c r="T20">
        <f t="shared" si="6"/>
        <v>0.2</v>
      </c>
      <c r="U20">
        <f t="shared" si="6"/>
        <v>0.5</v>
      </c>
      <c r="V20">
        <f t="shared" si="7"/>
        <v>0.8</v>
      </c>
      <c r="W20">
        <f t="shared" si="7"/>
        <v>0.7</v>
      </c>
      <c r="X20" t="s">
        <v>40</v>
      </c>
    </row>
    <row r="21" spans="1:24" x14ac:dyDescent="0.35">
      <c r="A21" t="s">
        <v>10</v>
      </c>
      <c r="B21">
        <v>20</v>
      </c>
      <c r="C21">
        <v>47</v>
      </c>
      <c r="D21">
        <v>19</v>
      </c>
      <c r="E21">
        <v>4</v>
      </c>
      <c r="F21">
        <v>0.9</v>
      </c>
      <c r="G21">
        <v>16</v>
      </c>
      <c r="H21" t="s">
        <v>59</v>
      </c>
      <c r="I21">
        <f t="shared" si="2"/>
        <v>10</v>
      </c>
      <c r="J21">
        <f t="shared" si="3"/>
        <v>15</v>
      </c>
      <c r="K21">
        <v>7</v>
      </c>
      <c r="L21">
        <v>3</v>
      </c>
      <c r="M21">
        <v>3</v>
      </c>
      <c r="N21">
        <v>12</v>
      </c>
      <c r="O21">
        <f t="shared" si="4"/>
        <v>2.9375</v>
      </c>
      <c r="P21">
        <f t="shared" si="0"/>
        <v>0.22500000000000001</v>
      </c>
      <c r="Q21">
        <f t="shared" si="5"/>
        <v>0.15460526315789475</v>
      </c>
      <c r="R21">
        <f t="shared" si="6"/>
        <v>0.7</v>
      </c>
      <c r="S21">
        <f t="shared" si="6"/>
        <v>0.3</v>
      </c>
      <c r="T21">
        <f t="shared" si="6"/>
        <v>0.3</v>
      </c>
      <c r="U21">
        <f t="shared" si="6"/>
        <v>1.2</v>
      </c>
      <c r="V21">
        <f t="shared" si="7"/>
        <v>1</v>
      </c>
      <c r="W21">
        <f t="shared" si="7"/>
        <v>1.5</v>
      </c>
      <c r="X21" t="s">
        <v>40</v>
      </c>
    </row>
    <row r="22" spans="1:24" x14ac:dyDescent="0.35">
      <c r="A22" t="s">
        <v>9</v>
      </c>
      <c r="B22">
        <v>21</v>
      </c>
      <c r="C22">
        <v>43</v>
      </c>
      <c r="D22">
        <v>0</v>
      </c>
      <c r="E22">
        <v>4</v>
      </c>
      <c r="F22">
        <v>1.2</v>
      </c>
      <c r="G22">
        <v>14</v>
      </c>
      <c r="H22" t="s">
        <v>60</v>
      </c>
      <c r="I22">
        <f t="shared" si="2"/>
        <v>23</v>
      </c>
      <c r="J22">
        <f t="shared" si="3"/>
        <v>1</v>
      </c>
      <c r="K22">
        <v>17</v>
      </c>
      <c r="L22">
        <v>6</v>
      </c>
      <c r="M22">
        <v>0</v>
      </c>
      <c r="N22">
        <v>1</v>
      </c>
      <c r="O22">
        <f t="shared" si="4"/>
        <v>3.0714285714285716</v>
      </c>
      <c r="P22">
        <f t="shared" si="0"/>
        <v>0.3</v>
      </c>
      <c r="Q22">
        <v>0</v>
      </c>
      <c r="R22">
        <f t="shared" si="6"/>
        <v>1.7</v>
      </c>
      <c r="S22">
        <f t="shared" si="6"/>
        <v>0.6</v>
      </c>
      <c r="T22">
        <f t="shared" si="6"/>
        <v>0</v>
      </c>
      <c r="U22">
        <f t="shared" si="6"/>
        <v>0.1</v>
      </c>
      <c r="V22">
        <f t="shared" si="7"/>
        <v>2.2999999999999998</v>
      </c>
      <c r="W22">
        <f t="shared" si="7"/>
        <v>0.1</v>
      </c>
      <c r="X22" t="s">
        <v>40</v>
      </c>
    </row>
    <row r="23" spans="1:24" x14ac:dyDescent="0.35">
      <c r="A23" t="s">
        <v>9</v>
      </c>
      <c r="B23">
        <v>22</v>
      </c>
      <c r="C23">
        <v>38</v>
      </c>
      <c r="D23">
        <v>0</v>
      </c>
      <c r="E23">
        <v>4.2</v>
      </c>
      <c r="F23">
        <v>1.1000000000000001</v>
      </c>
      <c r="G23">
        <v>12</v>
      </c>
      <c r="H23" t="s">
        <v>61</v>
      </c>
      <c r="I23">
        <f t="shared" si="2"/>
        <v>17</v>
      </c>
      <c r="J23">
        <f t="shared" si="3"/>
        <v>3</v>
      </c>
      <c r="K23">
        <v>13</v>
      </c>
      <c r="L23">
        <v>4</v>
      </c>
      <c r="M23">
        <v>0</v>
      </c>
      <c r="N23">
        <v>3</v>
      </c>
      <c r="O23">
        <f t="shared" si="4"/>
        <v>3.1666666666666665</v>
      </c>
      <c r="P23">
        <f t="shared" si="0"/>
        <v>0.26190476190476192</v>
      </c>
      <c r="Q23">
        <v>0</v>
      </c>
      <c r="R23">
        <f t="shared" si="6"/>
        <v>1.3</v>
      </c>
      <c r="S23">
        <f t="shared" si="6"/>
        <v>0.4</v>
      </c>
      <c r="T23">
        <f t="shared" si="6"/>
        <v>0</v>
      </c>
      <c r="U23">
        <f t="shared" si="6"/>
        <v>0.3</v>
      </c>
      <c r="V23">
        <f t="shared" si="7"/>
        <v>1.7</v>
      </c>
      <c r="W23">
        <f t="shared" si="7"/>
        <v>0.3</v>
      </c>
      <c r="X23" t="s">
        <v>40</v>
      </c>
    </row>
    <row r="24" spans="1:24" x14ac:dyDescent="0.35">
      <c r="A24" t="s">
        <v>9</v>
      </c>
      <c r="B24">
        <v>23</v>
      </c>
      <c r="C24">
        <v>25</v>
      </c>
      <c r="D24">
        <v>0</v>
      </c>
      <c r="E24">
        <v>3.8</v>
      </c>
      <c r="F24">
        <v>0.9</v>
      </c>
      <c r="G24">
        <v>11</v>
      </c>
      <c r="H24" t="s">
        <v>62</v>
      </c>
      <c r="I24">
        <f t="shared" si="2"/>
        <v>19</v>
      </c>
      <c r="J24">
        <f t="shared" si="3"/>
        <v>3</v>
      </c>
      <c r="K24">
        <v>14</v>
      </c>
      <c r="L24">
        <v>5</v>
      </c>
      <c r="M24">
        <v>1</v>
      </c>
      <c r="N24">
        <v>2</v>
      </c>
      <c r="O24">
        <f t="shared" si="4"/>
        <v>2.2727272727272729</v>
      </c>
      <c r="P24">
        <f t="shared" si="0"/>
        <v>0.23684210526315791</v>
      </c>
      <c r="Q24">
        <v>0</v>
      </c>
      <c r="R24">
        <f t="shared" si="6"/>
        <v>1.4</v>
      </c>
      <c r="S24">
        <f t="shared" si="6"/>
        <v>0.5</v>
      </c>
      <c r="T24">
        <f t="shared" si="6"/>
        <v>0.1</v>
      </c>
      <c r="U24">
        <f t="shared" si="6"/>
        <v>0.2</v>
      </c>
      <c r="V24">
        <f t="shared" si="7"/>
        <v>1.9</v>
      </c>
      <c r="W24">
        <f t="shared" si="7"/>
        <v>0.3</v>
      </c>
      <c r="X24" t="s">
        <v>40</v>
      </c>
    </row>
    <row r="25" spans="1:24" x14ac:dyDescent="0.35">
      <c r="A25" t="s">
        <v>9</v>
      </c>
      <c r="B25">
        <v>24</v>
      </c>
      <c r="C25">
        <v>37</v>
      </c>
      <c r="D25">
        <v>0</v>
      </c>
      <c r="E25">
        <v>3.9</v>
      </c>
      <c r="F25">
        <v>0.9</v>
      </c>
      <c r="G25">
        <v>13</v>
      </c>
      <c r="H25" t="s">
        <v>63</v>
      </c>
      <c r="I25">
        <f t="shared" si="2"/>
        <v>13</v>
      </c>
      <c r="J25">
        <f t="shared" si="3"/>
        <v>4</v>
      </c>
      <c r="K25">
        <v>9</v>
      </c>
      <c r="L25">
        <v>4</v>
      </c>
      <c r="M25">
        <v>1</v>
      </c>
      <c r="N25">
        <v>3</v>
      </c>
      <c r="O25">
        <f t="shared" si="4"/>
        <v>2.8461538461538463</v>
      </c>
      <c r="P25">
        <f t="shared" si="0"/>
        <v>0.23076923076923078</v>
      </c>
      <c r="Q25">
        <v>0</v>
      </c>
      <c r="R25">
        <f t="shared" si="6"/>
        <v>0.9</v>
      </c>
      <c r="S25">
        <f t="shared" si="6"/>
        <v>0.4</v>
      </c>
      <c r="T25">
        <f t="shared" si="6"/>
        <v>0.1</v>
      </c>
      <c r="U25">
        <f t="shared" si="6"/>
        <v>0.3</v>
      </c>
      <c r="V25">
        <f t="shared" si="7"/>
        <v>1.3</v>
      </c>
      <c r="W25">
        <f t="shared" si="7"/>
        <v>0.4</v>
      </c>
      <c r="X25" t="s">
        <v>40</v>
      </c>
    </row>
    <row r="26" spans="1:24" x14ac:dyDescent="0.35">
      <c r="A26" t="s">
        <v>9</v>
      </c>
      <c r="B26">
        <v>25</v>
      </c>
      <c r="C26">
        <v>44</v>
      </c>
      <c r="D26">
        <v>0</v>
      </c>
      <c r="E26">
        <v>4.0999999999999996</v>
      </c>
      <c r="F26">
        <v>1.2</v>
      </c>
      <c r="G26">
        <v>12</v>
      </c>
      <c r="H26" t="s">
        <v>64</v>
      </c>
      <c r="I26">
        <f t="shared" si="2"/>
        <v>12</v>
      </c>
      <c r="J26">
        <f t="shared" si="3"/>
        <v>5</v>
      </c>
      <c r="K26">
        <v>9</v>
      </c>
      <c r="L26">
        <v>3</v>
      </c>
      <c r="M26">
        <v>1</v>
      </c>
      <c r="N26">
        <v>4</v>
      </c>
      <c r="O26">
        <f t="shared" si="4"/>
        <v>3.6666666666666665</v>
      </c>
      <c r="P26">
        <f t="shared" si="0"/>
        <v>0.29268292682926833</v>
      </c>
      <c r="Q26">
        <v>0</v>
      </c>
      <c r="R26">
        <f t="shared" si="6"/>
        <v>0.9</v>
      </c>
      <c r="S26">
        <f t="shared" si="6"/>
        <v>0.3</v>
      </c>
      <c r="T26">
        <f t="shared" si="6"/>
        <v>0.1</v>
      </c>
      <c r="U26">
        <f t="shared" si="6"/>
        <v>0.4</v>
      </c>
      <c r="V26">
        <f t="shared" si="7"/>
        <v>1.2</v>
      </c>
      <c r="W26">
        <f t="shared" si="7"/>
        <v>0.5</v>
      </c>
      <c r="X26" t="s">
        <v>40</v>
      </c>
    </row>
    <row r="27" spans="1:24" x14ac:dyDescent="0.35">
      <c r="A27" t="s">
        <v>9</v>
      </c>
      <c r="B27">
        <v>26</v>
      </c>
      <c r="C27">
        <v>50</v>
      </c>
      <c r="D27">
        <v>0</v>
      </c>
      <c r="E27">
        <v>4.0999999999999996</v>
      </c>
      <c r="F27">
        <v>1.2</v>
      </c>
      <c r="G27">
        <v>14</v>
      </c>
      <c r="H27" t="s">
        <v>65</v>
      </c>
      <c r="I27">
        <f t="shared" si="2"/>
        <v>16</v>
      </c>
      <c r="J27">
        <f t="shared" si="3"/>
        <v>5</v>
      </c>
      <c r="K27">
        <v>12</v>
      </c>
      <c r="L27">
        <v>4</v>
      </c>
      <c r="M27">
        <v>2</v>
      </c>
      <c r="N27">
        <v>3</v>
      </c>
      <c r="O27">
        <f t="shared" si="4"/>
        <v>3.5714285714285716</v>
      </c>
      <c r="P27">
        <f t="shared" si="0"/>
        <v>0.29268292682926833</v>
      </c>
      <c r="Q27">
        <v>0</v>
      </c>
      <c r="R27">
        <f t="shared" si="6"/>
        <v>1.2</v>
      </c>
      <c r="S27">
        <f t="shared" si="6"/>
        <v>0.4</v>
      </c>
      <c r="T27">
        <f t="shared" si="6"/>
        <v>0.2</v>
      </c>
      <c r="U27">
        <f t="shared" si="6"/>
        <v>0.3</v>
      </c>
      <c r="V27">
        <f t="shared" si="7"/>
        <v>1.6</v>
      </c>
      <c r="W27">
        <f t="shared" si="7"/>
        <v>0.5</v>
      </c>
      <c r="X27" t="s">
        <v>40</v>
      </c>
    </row>
    <row r="28" spans="1:24" x14ac:dyDescent="0.35">
      <c r="A28" t="s">
        <v>9</v>
      </c>
      <c r="B28">
        <v>27</v>
      </c>
      <c r="C28">
        <v>54</v>
      </c>
      <c r="D28">
        <v>0</v>
      </c>
      <c r="E28">
        <v>4</v>
      </c>
      <c r="F28">
        <v>0.9</v>
      </c>
      <c r="G28">
        <v>14</v>
      </c>
      <c r="H28" t="s">
        <v>66</v>
      </c>
      <c r="I28">
        <f t="shared" si="2"/>
        <v>19</v>
      </c>
      <c r="J28">
        <f t="shared" si="3"/>
        <v>1</v>
      </c>
      <c r="K28">
        <v>10</v>
      </c>
      <c r="L28">
        <v>9</v>
      </c>
      <c r="M28">
        <v>0</v>
      </c>
      <c r="N28">
        <v>1</v>
      </c>
      <c r="O28">
        <f t="shared" si="4"/>
        <v>3.8571428571428572</v>
      </c>
      <c r="P28">
        <f t="shared" si="0"/>
        <v>0.22500000000000001</v>
      </c>
      <c r="Q28">
        <v>0</v>
      </c>
      <c r="R28">
        <f t="shared" si="6"/>
        <v>1</v>
      </c>
      <c r="S28">
        <f t="shared" si="6"/>
        <v>0.9</v>
      </c>
      <c r="T28">
        <f t="shared" si="6"/>
        <v>0</v>
      </c>
      <c r="U28">
        <f t="shared" si="6"/>
        <v>0.1</v>
      </c>
      <c r="V28">
        <f t="shared" si="7"/>
        <v>1.9</v>
      </c>
      <c r="W28">
        <f t="shared" si="7"/>
        <v>0.1</v>
      </c>
      <c r="X28" t="s">
        <v>40</v>
      </c>
    </row>
    <row r="29" spans="1:24" x14ac:dyDescent="0.35">
      <c r="A29" t="s">
        <v>9</v>
      </c>
      <c r="B29">
        <v>28</v>
      </c>
      <c r="C29">
        <v>38</v>
      </c>
      <c r="D29">
        <v>0</v>
      </c>
      <c r="E29">
        <v>3.7</v>
      </c>
      <c r="F29">
        <v>1</v>
      </c>
      <c r="G29">
        <v>14</v>
      </c>
      <c r="H29" t="s">
        <v>67</v>
      </c>
      <c r="I29">
        <f t="shared" si="2"/>
        <v>18</v>
      </c>
      <c r="J29">
        <f t="shared" si="3"/>
        <v>4</v>
      </c>
      <c r="K29">
        <v>10</v>
      </c>
      <c r="L29">
        <v>8</v>
      </c>
      <c r="M29">
        <v>1</v>
      </c>
      <c r="N29">
        <v>3</v>
      </c>
      <c r="O29">
        <f t="shared" si="4"/>
        <v>2.7142857142857144</v>
      </c>
      <c r="P29">
        <f t="shared" si="0"/>
        <v>0.27027027027027023</v>
      </c>
      <c r="Q29">
        <v>0</v>
      </c>
      <c r="R29">
        <f t="shared" si="6"/>
        <v>1</v>
      </c>
      <c r="S29">
        <f t="shared" si="6"/>
        <v>0.8</v>
      </c>
      <c r="T29">
        <f t="shared" si="6"/>
        <v>0.1</v>
      </c>
      <c r="U29">
        <f t="shared" si="6"/>
        <v>0.3</v>
      </c>
      <c r="V29">
        <f t="shared" si="7"/>
        <v>1.8</v>
      </c>
      <c r="W29">
        <f t="shared" si="7"/>
        <v>0.4</v>
      </c>
      <c r="X29" t="s">
        <v>40</v>
      </c>
    </row>
    <row r="30" spans="1:24" x14ac:dyDescent="0.35">
      <c r="A30" t="s">
        <v>9</v>
      </c>
      <c r="B30">
        <v>29</v>
      </c>
      <c r="C30">
        <v>32</v>
      </c>
      <c r="D30">
        <v>0</v>
      </c>
      <c r="E30">
        <v>4.2</v>
      </c>
      <c r="F30">
        <v>1</v>
      </c>
      <c r="G30">
        <v>12</v>
      </c>
      <c r="H30" t="s">
        <v>68</v>
      </c>
      <c r="I30">
        <f t="shared" si="2"/>
        <v>27</v>
      </c>
      <c r="J30">
        <f t="shared" si="3"/>
        <v>2</v>
      </c>
      <c r="K30">
        <v>19</v>
      </c>
      <c r="L30">
        <v>8</v>
      </c>
      <c r="M30">
        <v>1</v>
      </c>
      <c r="N30">
        <v>1</v>
      </c>
      <c r="O30">
        <f t="shared" si="4"/>
        <v>2.6666666666666665</v>
      </c>
      <c r="P30">
        <f t="shared" si="0"/>
        <v>0.23809523809523808</v>
      </c>
      <c r="Q30">
        <v>0</v>
      </c>
      <c r="R30">
        <f t="shared" si="6"/>
        <v>1.9</v>
      </c>
      <c r="S30">
        <f t="shared" si="6"/>
        <v>0.8</v>
      </c>
      <c r="T30">
        <f t="shared" si="6"/>
        <v>0.1</v>
      </c>
      <c r="U30">
        <f t="shared" si="6"/>
        <v>0.1</v>
      </c>
      <c r="V30">
        <f t="shared" si="7"/>
        <v>2.7</v>
      </c>
      <c r="W30">
        <f t="shared" si="7"/>
        <v>0.2</v>
      </c>
      <c r="X30" t="s">
        <v>40</v>
      </c>
    </row>
    <row r="31" spans="1:24" x14ac:dyDescent="0.35">
      <c r="A31" t="s">
        <v>9</v>
      </c>
      <c r="B31">
        <v>30</v>
      </c>
      <c r="C31">
        <v>46</v>
      </c>
      <c r="D31">
        <v>0</v>
      </c>
      <c r="E31">
        <v>4.4000000000000004</v>
      </c>
      <c r="F31">
        <v>1.3</v>
      </c>
      <c r="G31">
        <v>11</v>
      </c>
      <c r="H31" t="s">
        <v>69</v>
      </c>
      <c r="I31">
        <f t="shared" si="2"/>
        <v>16</v>
      </c>
      <c r="J31">
        <f t="shared" si="3"/>
        <v>4</v>
      </c>
      <c r="K31">
        <v>11</v>
      </c>
      <c r="L31">
        <v>5</v>
      </c>
      <c r="M31">
        <v>1</v>
      </c>
      <c r="N31">
        <v>3</v>
      </c>
      <c r="O31">
        <f t="shared" si="4"/>
        <v>4.1818181818181817</v>
      </c>
      <c r="P31">
        <f t="shared" si="0"/>
        <v>0.29545454545454541</v>
      </c>
      <c r="Q31">
        <v>0</v>
      </c>
      <c r="R31">
        <f t="shared" si="6"/>
        <v>1.1000000000000001</v>
      </c>
      <c r="S31">
        <f t="shared" si="6"/>
        <v>0.5</v>
      </c>
      <c r="T31">
        <f t="shared" si="6"/>
        <v>0.1</v>
      </c>
      <c r="U31">
        <f t="shared" si="6"/>
        <v>0.3</v>
      </c>
      <c r="V31">
        <f t="shared" si="7"/>
        <v>1.6</v>
      </c>
      <c r="W31">
        <f t="shared" si="7"/>
        <v>0.4</v>
      </c>
      <c r="X31" t="s">
        <v>40</v>
      </c>
    </row>
    <row r="32" spans="1:24" x14ac:dyDescent="0.35">
      <c r="A32" t="s">
        <v>9</v>
      </c>
      <c r="B32">
        <v>31</v>
      </c>
      <c r="C32">
        <v>37</v>
      </c>
      <c r="D32">
        <v>0</v>
      </c>
      <c r="E32">
        <v>4</v>
      </c>
      <c r="F32">
        <v>1</v>
      </c>
      <c r="G32">
        <v>14</v>
      </c>
      <c r="H32" t="s">
        <v>70</v>
      </c>
      <c r="I32">
        <f t="shared" si="2"/>
        <v>16</v>
      </c>
      <c r="J32">
        <f t="shared" si="3"/>
        <v>8</v>
      </c>
      <c r="K32">
        <v>13</v>
      </c>
      <c r="L32">
        <v>3</v>
      </c>
      <c r="M32">
        <v>3</v>
      </c>
      <c r="N32">
        <v>5</v>
      </c>
      <c r="O32">
        <f t="shared" si="4"/>
        <v>2.6428571428571428</v>
      </c>
      <c r="P32">
        <f t="shared" si="0"/>
        <v>0.25</v>
      </c>
      <c r="Q32">
        <v>0</v>
      </c>
      <c r="R32">
        <f t="shared" si="6"/>
        <v>1.3</v>
      </c>
      <c r="S32">
        <f t="shared" si="6"/>
        <v>0.3</v>
      </c>
      <c r="T32">
        <f t="shared" si="6"/>
        <v>0.3</v>
      </c>
      <c r="U32">
        <f t="shared" si="6"/>
        <v>0.5</v>
      </c>
      <c r="V32">
        <f t="shared" si="7"/>
        <v>1.6</v>
      </c>
      <c r="W32">
        <f t="shared" si="7"/>
        <v>0.8</v>
      </c>
      <c r="X32" t="s">
        <v>40</v>
      </c>
    </row>
    <row r="33" spans="1:24" x14ac:dyDescent="0.35">
      <c r="A33" t="s">
        <v>9</v>
      </c>
      <c r="B33">
        <v>32</v>
      </c>
      <c r="C33">
        <v>36</v>
      </c>
      <c r="D33">
        <v>0</v>
      </c>
      <c r="E33">
        <v>4.0999999999999996</v>
      </c>
      <c r="F33">
        <v>1.3</v>
      </c>
      <c r="G33">
        <v>13</v>
      </c>
      <c r="H33" t="s">
        <v>71</v>
      </c>
      <c r="I33">
        <f t="shared" si="2"/>
        <v>21</v>
      </c>
      <c r="J33">
        <f t="shared" si="3"/>
        <v>5</v>
      </c>
      <c r="K33">
        <v>14</v>
      </c>
      <c r="L33">
        <v>7</v>
      </c>
      <c r="M33">
        <v>3</v>
      </c>
      <c r="N33">
        <v>2</v>
      </c>
      <c r="O33">
        <f t="shared" si="4"/>
        <v>2.7692307692307692</v>
      </c>
      <c r="P33">
        <f t="shared" si="0"/>
        <v>0.31707317073170738</v>
      </c>
      <c r="Q33">
        <v>0</v>
      </c>
      <c r="R33">
        <f t="shared" si="6"/>
        <v>1.4</v>
      </c>
      <c r="S33">
        <f t="shared" si="6"/>
        <v>0.7</v>
      </c>
      <c r="T33">
        <f t="shared" si="6"/>
        <v>0.3</v>
      </c>
      <c r="U33">
        <f t="shared" si="6"/>
        <v>0.2</v>
      </c>
      <c r="V33">
        <f t="shared" si="7"/>
        <v>2.1</v>
      </c>
      <c r="W33">
        <f t="shared" si="7"/>
        <v>0.5</v>
      </c>
      <c r="X33" t="s">
        <v>40</v>
      </c>
    </row>
    <row r="34" spans="1:24" x14ac:dyDescent="0.35">
      <c r="A34" t="s">
        <v>9</v>
      </c>
      <c r="B34">
        <v>33</v>
      </c>
      <c r="C34">
        <v>39</v>
      </c>
      <c r="D34">
        <v>0</v>
      </c>
      <c r="E34">
        <v>3.9</v>
      </c>
      <c r="F34">
        <v>1.1000000000000001</v>
      </c>
      <c r="G34">
        <v>12</v>
      </c>
      <c r="H34" t="s">
        <v>72</v>
      </c>
      <c r="I34">
        <f t="shared" si="2"/>
        <v>20</v>
      </c>
      <c r="J34">
        <f t="shared" si="3"/>
        <v>2</v>
      </c>
      <c r="K34">
        <v>17</v>
      </c>
      <c r="L34">
        <v>3</v>
      </c>
      <c r="M34">
        <v>0</v>
      </c>
      <c r="N34">
        <v>2</v>
      </c>
      <c r="O34">
        <f t="shared" si="4"/>
        <v>3.25</v>
      </c>
      <c r="P34">
        <f t="shared" si="0"/>
        <v>0.2820512820512821</v>
      </c>
      <c r="Q34">
        <v>0</v>
      </c>
      <c r="R34">
        <f t="shared" si="6"/>
        <v>1.7</v>
      </c>
      <c r="S34">
        <f t="shared" si="6"/>
        <v>0.3</v>
      </c>
      <c r="T34">
        <f t="shared" si="6"/>
        <v>0</v>
      </c>
      <c r="U34">
        <f t="shared" si="6"/>
        <v>0.2</v>
      </c>
      <c r="V34">
        <f t="shared" si="7"/>
        <v>2</v>
      </c>
      <c r="W34">
        <f t="shared" si="7"/>
        <v>0.2</v>
      </c>
      <c r="X34" t="s">
        <v>40</v>
      </c>
    </row>
    <row r="35" spans="1:24" x14ac:dyDescent="0.35">
      <c r="A35" t="s">
        <v>9</v>
      </c>
      <c r="B35">
        <v>34</v>
      </c>
      <c r="C35">
        <v>43</v>
      </c>
      <c r="D35">
        <v>2</v>
      </c>
      <c r="E35">
        <v>4.0999999999999996</v>
      </c>
      <c r="F35">
        <v>1.2</v>
      </c>
      <c r="G35">
        <v>14</v>
      </c>
      <c r="H35" t="s">
        <v>73</v>
      </c>
      <c r="I35">
        <f t="shared" si="2"/>
        <v>24</v>
      </c>
      <c r="J35">
        <f t="shared" si="3"/>
        <v>3</v>
      </c>
      <c r="K35">
        <v>15</v>
      </c>
      <c r="L35">
        <v>9</v>
      </c>
      <c r="M35">
        <v>2</v>
      </c>
      <c r="N35">
        <v>1</v>
      </c>
      <c r="O35">
        <f t="shared" si="4"/>
        <v>3.0714285714285716</v>
      </c>
      <c r="P35">
        <f t="shared" si="0"/>
        <v>0.29268292682926833</v>
      </c>
      <c r="Q35">
        <f t="shared" si="5"/>
        <v>1.5357142857142858</v>
      </c>
      <c r="R35">
        <f t="shared" si="6"/>
        <v>1.5</v>
      </c>
      <c r="S35">
        <f t="shared" si="6"/>
        <v>0.9</v>
      </c>
      <c r="T35">
        <f t="shared" si="6"/>
        <v>0.2</v>
      </c>
      <c r="U35">
        <f t="shared" si="6"/>
        <v>0.1</v>
      </c>
      <c r="V35">
        <f t="shared" si="7"/>
        <v>2.4</v>
      </c>
      <c r="W35">
        <f t="shared" si="7"/>
        <v>0.3</v>
      </c>
      <c r="X35" t="s">
        <v>40</v>
      </c>
    </row>
    <row r="36" spans="1:24" x14ac:dyDescent="0.35">
      <c r="A36" t="s">
        <v>9</v>
      </c>
      <c r="B36">
        <v>35</v>
      </c>
      <c r="C36">
        <v>29</v>
      </c>
      <c r="D36">
        <v>0</v>
      </c>
      <c r="E36">
        <v>4</v>
      </c>
      <c r="F36">
        <v>1</v>
      </c>
      <c r="G36">
        <v>12</v>
      </c>
      <c r="H36" t="s">
        <v>74</v>
      </c>
      <c r="I36">
        <f t="shared" si="2"/>
        <v>20</v>
      </c>
      <c r="J36">
        <f t="shared" si="3"/>
        <v>3</v>
      </c>
      <c r="K36">
        <v>13</v>
      </c>
      <c r="L36">
        <v>7</v>
      </c>
      <c r="M36">
        <v>2</v>
      </c>
      <c r="N36">
        <v>1</v>
      </c>
      <c r="O36">
        <f t="shared" si="4"/>
        <v>2.4166666666666665</v>
      </c>
      <c r="P36">
        <f t="shared" si="0"/>
        <v>0.25</v>
      </c>
      <c r="Q36">
        <v>0</v>
      </c>
      <c r="R36">
        <f t="shared" si="6"/>
        <v>1.3</v>
      </c>
      <c r="S36">
        <f t="shared" si="6"/>
        <v>0.7</v>
      </c>
      <c r="T36">
        <f t="shared" si="6"/>
        <v>0.2</v>
      </c>
      <c r="U36">
        <f t="shared" si="6"/>
        <v>0.1</v>
      </c>
      <c r="V36">
        <f t="shared" si="7"/>
        <v>2</v>
      </c>
      <c r="W36">
        <f t="shared" si="7"/>
        <v>0.3</v>
      </c>
      <c r="X36" t="s">
        <v>40</v>
      </c>
    </row>
    <row r="37" spans="1:24" x14ac:dyDescent="0.35">
      <c r="A37" t="s">
        <v>9</v>
      </c>
      <c r="B37">
        <v>36</v>
      </c>
      <c r="C37">
        <v>25</v>
      </c>
      <c r="D37">
        <v>0</v>
      </c>
      <c r="E37">
        <v>3.9</v>
      </c>
      <c r="F37">
        <v>1</v>
      </c>
      <c r="G37">
        <v>14</v>
      </c>
      <c r="H37" t="s">
        <v>75</v>
      </c>
      <c r="I37">
        <f t="shared" si="2"/>
        <v>22</v>
      </c>
      <c r="J37">
        <f t="shared" si="3"/>
        <v>3</v>
      </c>
      <c r="K37">
        <v>19</v>
      </c>
      <c r="L37">
        <v>3</v>
      </c>
      <c r="M37">
        <v>2</v>
      </c>
      <c r="N37">
        <v>1</v>
      </c>
      <c r="O37">
        <f t="shared" si="4"/>
        <v>1.7857142857142858</v>
      </c>
      <c r="P37">
        <f t="shared" si="0"/>
        <v>0.25641025641025644</v>
      </c>
      <c r="Q37">
        <v>0</v>
      </c>
      <c r="R37">
        <f t="shared" si="6"/>
        <v>1.9</v>
      </c>
      <c r="S37">
        <f t="shared" si="6"/>
        <v>0.3</v>
      </c>
      <c r="T37">
        <f t="shared" si="6"/>
        <v>0.2</v>
      </c>
      <c r="U37">
        <f t="shared" si="6"/>
        <v>0.1</v>
      </c>
      <c r="V37">
        <f t="shared" si="7"/>
        <v>2.2000000000000002</v>
      </c>
      <c r="W37">
        <f t="shared" si="7"/>
        <v>0.3</v>
      </c>
      <c r="X37" t="s">
        <v>40</v>
      </c>
    </row>
    <row r="38" spans="1:24" x14ac:dyDescent="0.35">
      <c r="A38" t="s">
        <v>9</v>
      </c>
      <c r="B38">
        <v>37</v>
      </c>
      <c r="C38">
        <v>45</v>
      </c>
      <c r="D38">
        <v>0</v>
      </c>
      <c r="E38">
        <v>3.9</v>
      </c>
      <c r="F38">
        <v>1.2</v>
      </c>
      <c r="G38">
        <v>11</v>
      </c>
      <c r="H38" t="s">
        <v>76</v>
      </c>
      <c r="I38">
        <f t="shared" si="2"/>
        <v>16</v>
      </c>
      <c r="J38">
        <f t="shared" si="3"/>
        <v>4</v>
      </c>
      <c r="K38">
        <v>11</v>
      </c>
      <c r="L38">
        <v>5</v>
      </c>
      <c r="M38">
        <v>2</v>
      </c>
      <c r="N38">
        <v>2</v>
      </c>
      <c r="O38">
        <f t="shared" si="4"/>
        <v>4.0909090909090908</v>
      </c>
      <c r="P38">
        <f t="shared" si="0"/>
        <v>0.30769230769230771</v>
      </c>
      <c r="Q38">
        <v>0</v>
      </c>
      <c r="R38">
        <f t="shared" si="6"/>
        <v>1.1000000000000001</v>
      </c>
      <c r="S38">
        <f t="shared" si="6"/>
        <v>0.5</v>
      </c>
      <c r="T38">
        <f t="shared" si="6"/>
        <v>0.2</v>
      </c>
      <c r="U38">
        <f t="shared" si="6"/>
        <v>0.2</v>
      </c>
      <c r="V38">
        <f t="shared" si="7"/>
        <v>1.6</v>
      </c>
      <c r="W38">
        <f t="shared" si="7"/>
        <v>0.4</v>
      </c>
      <c r="X38" t="s">
        <v>40</v>
      </c>
    </row>
    <row r="39" spans="1:24" x14ac:dyDescent="0.35">
      <c r="A39" t="s">
        <v>9</v>
      </c>
      <c r="B39">
        <v>38</v>
      </c>
      <c r="C39">
        <v>41</v>
      </c>
      <c r="D39">
        <v>0</v>
      </c>
      <c r="E39">
        <v>4.2</v>
      </c>
      <c r="F39">
        <v>1.3</v>
      </c>
      <c r="G39">
        <v>13</v>
      </c>
      <c r="H39" t="s">
        <v>77</v>
      </c>
      <c r="I39">
        <f t="shared" si="2"/>
        <v>26</v>
      </c>
      <c r="J39">
        <f t="shared" si="3"/>
        <v>0</v>
      </c>
      <c r="K39">
        <v>18</v>
      </c>
      <c r="L39">
        <v>8</v>
      </c>
      <c r="M39">
        <v>0</v>
      </c>
      <c r="N39">
        <v>0</v>
      </c>
      <c r="O39">
        <f t="shared" si="4"/>
        <v>3.1538461538461537</v>
      </c>
      <c r="P39">
        <f t="shared" si="0"/>
        <v>0.30952380952380953</v>
      </c>
      <c r="Q39">
        <v>0</v>
      </c>
      <c r="R39">
        <f t="shared" si="6"/>
        <v>1.8</v>
      </c>
      <c r="S39">
        <f t="shared" si="6"/>
        <v>0.8</v>
      </c>
      <c r="T39">
        <f t="shared" si="6"/>
        <v>0</v>
      </c>
      <c r="U39">
        <f t="shared" si="6"/>
        <v>0</v>
      </c>
      <c r="V39">
        <f t="shared" si="7"/>
        <v>2.6</v>
      </c>
      <c r="W39">
        <f t="shared" si="7"/>
        <v>0</v>
      </c>
      <c r="X39" t="s">
        <v>40</v>
      </c>
    </row>
    <row r="40" spans="1:24" x14ac:dyDescent="0.35">
      <c r="A40" t="s">
        <v>9</v>
      </c>
      <c r="B40">
        <v>39</v>
      </c>
      <c r="C40">
        <v>39</v>
      </c>
      <c r="D40">
        <v>0</v>
      </c>
      <c r="E40">
        <v>4</v>
      </c>
      <c r="F40">
        <v>1.3</v>
      </c>
      <c r="G40">
        <v>14</v>
      </c>
      <c r="H40" t="s">
        <v>78</v>
      </c>
      <c r="I40">
        <f t="shared" si="2"/>
        <v>24</v>
      </c>
      <c r="J40">
        <f t="shared" si="3"/>
        <v>0</v>
      </c>
      <c r="K40">
        <v>17</v>
      </c>
      <c r="L40">
        <v>7</v>
      </c>
      <c r="M40">
        <v>0</v>
      </c>
      <c r="N40">
        <v>0</v>
      </c>
      <c r="O40">
        <f t="shared" si="4"/>
        <v>2.7857142857142856</v>
      </c>
      <c r="P40">
        <f t="shared" si="0"/>
        <v>0.32500000000000001</v>
      </c>
      <c r="Q40">
        <v>0</v>
      </c>
      <c r="R40">
        <f t="shared" si="6"/>
        <v>1.7</v>
      </c>
      <c r="S40">
        <f t="shared" si="6"/>
        <v>0.7</v>
      </c>
      <c r="T40">
        <f t="shared" si="6"/>
        <v>0</v>
      </c>
      <c r="U40">
        <f t="shared" si="6"/>
        <v>0</v>
      </c>
      <c r="V40">
        <f t="shared" si="7"/>
        <v>2.4</v>
      </c>
      <c r="W40">
        <f t="shared" si="7"/>
        <v>0</v>
      </c>
      <c r="X40" t="s">
        <v>40</v>
      </c>
    </row>
    <row r="41" spans="1:24" x14ac:dyDescent="0.35">
      <c r="A41" t="s">
        <v>9</v>
      </c>
      <c r="B41">
        <v>40</v>
      </c>
      <c r="C41">
        <v>44</v>
      </c>
      <c r="D41">
        <v>0</v>
      </c>
      <c r="E41">
        <v>4.0999999999999996</v>
      </c>
      <c r="F41">
        <v>1.2</v>
      </c>
      <c r="G41">
        <v>12</v>
      </c>
      <c r="H41" t="s">
        <v>79</v>
      </c>
      <c r="I41">
        <f t="shared" si="2"/>
        <v>15</v>
      </c>
      <c r="J41">
        <f t="shared" si="3"/>
        <v>1</v>
      </c>
      <c r="K41">
        <v>12</v>
      </c>
      <c r="L41">
        <v>3</v>
      </c>
      <c r="M41">
        <v>0</v>
      </c>
      <c r="N41">
        <v>1</v>
      </c>
      <c r="O41">
        <f t="shared" si="4"/>
        <v>3.6666666666666665</v>
      </c>
      <c r="P41">
        <f t="shared" si="0"/>
        <v>0.29268292682926833</v>
      </c>
      <c r="Q41">
        <v>0</v>
      </c>
      <c r="R41">
        <f t="shared" si="6"/>
        <v>1.2</v>
      </c>
      <c r="S41">
        <f t="shared" si="6"/>
        <v>0.3</v>
      </c>
      <c r="T41">
        <f t="shared" si="6"/>
        <v>0</v>
      </c>
      <c r="U41">
        <f t="shared" si="6"/>
        <v>0.1</v>
      </c>
      <c r="V41">
        <f t="shared" si="7"/>
        <v>1.5</v>
      </c>
      <c r="W41">
        <f t="shared" si="7"/>
        <v>0.1</v>
      </c>
      <c r="X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 1</vt:lpstr>
      <vt:lpstr>Exp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Godschalx</dc:creator>
  <cp:lastModifiedBy>Adrienne Godschalx</cp:lastModifiedBy>
  <dcterms:created xsi:type="dcterms:W3CDTF">2019-03-08T19:05:03Z</dcterms:created>
  <dcterms:modified xsi:type="dcterms:W3CDTF">2023-05-20T21:46:19Z</dcterms:modified>
</cp:coreProperties>
</file>